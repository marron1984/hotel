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lsonrezidor-my.sharepoint.com/personal/suo_iwai_radissonhotels_com/Documents/Desktop/SI Files/榎本さん　モデル/"/>
    </mc:Choice>
  </mc:AlternateContent>
  <xr:revisionPtr revIDLastSave="106" documentId="8_{972A25B0-C075-4608-8FBA-1F37ADF43F77}" xr6:coauthVersionLast="47" xr6:coauthVersionMax="47" xr10:uidLastSave="{2A1C4F06-7DE1-4E63-B44F-5BDF9480C1C0}"/>
  <bookViews>
    <workbookView xWindow="-38520" yWindow="-2430" windowWidth="38640" windowHeight="21120" tabRatio="778" activeTab="1" xr2:uid="{00000000-000D-0000-FFFF-FFFF00000000}"/>
  </bookViews>
  <sheets>
    <sheet name="Proforma" sheetId="77" r:id="rId1"/>
    <sheet name="Rooms" sheetId="78" r:id="rId2"/>
    <sheet name="Room Types" sheetId="86" r:id="rId3"/>
    <sheet name="Restaurant" sheetId="79" r:id="rId4"/>
    <sheet name="MOD" sheetId="85" r:id="rId5"/>
    <sheet name="Undist Expense" sheetId="83" r:id="rId6"/>
    <sheet name="Staffing" sheetId="84" r:id="rId7"/>
  </sheets>
  <definedNames>
    <definedName name="_____________________________________________mtb3" hidden="1">{#N/A,#N/A,FALSE,"１";#N/A,#N/A,FALSE,"２";#N/A,#N/A,FALSE,"３";#N/A,#N/A,FALSE,"４"}</definedName>
    <definedName name="____________________________________________mtb3" hidden="1">{#N/A,#N/A,FALSE,"１";#N/A,#N/A,FALSE,"２";#N/A,#N/A,FALSE,"３";#N/A,#N/A,FALSE,"４"}</definedName>
    <definedName name="___________________________________________mtb3" hidden="1">{#N/A,#N/A,FALSE,"１";#N/A,#N/A,FALSE,"２";#N/A,#N/A,FALSE,"３";#N/A,#N/A,FALSE,"４"}</definedName>
    <definedName name="__________________________________________mtb3" hidden="1">{#N/A,#N/A,FALSE,"１";#N/A,#N/A,FALSE,"２";#N/A,#N/A,FALSE,"３";#N/A,#N/A,FALSE,"４"}</definedName>
    <definedName name="_________________________________________mtb3" hidden="1">{#N/A,#N/A,FALSE,"１";#N/A,#N/A,FALSE,"２";#N/A,#N/A,FALSE,"３";#N/A,#N/A,FALSE,"４"}</definedName>
    <definedName name="________________________________________mtb3" hidden="1">{#N/A,#N/A,FALSE,"１";#N/A,#N/A,FALSE,"２";#N/A,#N/A,FALSE,"３";#N/A,#N/A,FALSE,"４"}</definedName>
    <definedName name="_______________________________________mtb3" hidden="1">{#N/A,#N/A,FALSE,"１";#N/A,#N/A,FALSE,"２";#N/A,#N/A,FALSE,"３";#N/A,#N/A,FALSE,"４"}</definedName>
    <definedName name="______________________________________mtb3" hidden="1">{#N/A,#N/A,FALSE,"１";#N/A,#N/A,FALSE,"２";#N/A,#N/A,FALSE,"３";#N/A,#N/A,FALSE,"４"}</definedName>
    <definedName name="_____________________________________mtb3" hidden="1">{#N/A,#N/A,FALSE,"１";#N/A,#N/A,FALSE,"２";#N/A,#N/A,FALSE,"３";#N/A,#N/A,FALSE,"４"}</definedName>
    <definedName name="____________________________________mtb3" hidden="1">{#N/A,#N/A,FALSE,"１";#N/A,#N/A,FALSE,"２";#N/A,#N/A,FALSE,"３";#N/A,#N/A,FALSE,"４"}</definedName>
    <definedName name="___________________________________mtb3" hidden="1">{#N/A,#N/A,FALSE,"１";#N/A,#N/A,FALSE,"２";#N/A,#N/A,FALSE,"３";#N/A,#N/A,FALSE,"４"}</definedName>
    <definedName name="__________________________________mtb3" hidden="1">{#N/A,#N/A,FALSE,"１";#N/A,#N/A,FALSE,"２";#N/A,#N/A,FALSE,"３";#N/A,#N/A,FALSE,"４"}</definedName>
    <definedName name="_________________________________mtb3" hidden="1">{#N/A,#N/A,FALSE,"１";#N/A,#N/A,FALSE,"２";#N/A,#N/A,FALSE,"３";#N/A,#N/A,FALSE,"４"}</definedName>
    <definedName name="________________________________mtb3" hidden="1">{#N/A,#N/A,FALSE,"１";#N/A,#N/A,FALSE,"２";#N/A,#N/A,FALSE,"３";#N/A,#N/A,FALSE,"４"}</definedName>
    <definedName name="_______________________________mtb3" hidden="1">{#N/A,#N/A,FALSE,"１";#N/A,#N/A,FALSE,"２";#N/A,#N/A,FALSE,"３";#N/A,#N/A,FALSE,"４"}</definedName>
    <definedName name="______________________________mtb3" hidden="1">{#N/A,#N/A,FALSE,"１";#N/A,#N/A,FALSE,"２";#N/A,#N/A,FALSE,"３";#N/A,#N/A,FALSE,"４"}</definedName>
    <definedName name="_____________________________mtb3" hidden="1">{#N/A,#N/A,FALSE,"１";#N/A,#N/A,FALSE,"２";#N/A,#N/A,FALSE,"３";#N/A,#N/A,FALSE,"４"}</definedName>
    <definedName name="____________________________mtb3" hidden="1">{#N/A,#N/A,FALSE,"１";#N/A,#N/A,FALSE,"２";#N/A,#N/A,FALSE,"３";#N/A,#N/A,FALSE,"４"}</definedName>
    <definedName name="___________________________mtb3" hidden="1">{#N/A,#N/A,FALSE,"１";#N/A,#N/A,FALSE,"２";#N/A,#N/A,FALSE,"３";#N/A,#N/A,FALSE,"４"}</definedName>
    <definedName name="__________________________mtb3" hidden="1">{#N/A,#N/A,FALSE,"１";#N/A,#N/A,FALSE,"２";#N/A,#N/A,FALSE,"３";#N/A,#N/A,FALSE,"４"}</definedName>
    <definedName name="_________________________mtb3" hidden="1">{#N/A,#N/A,FALSE,"１";#N/A,#N/A,FALSE,"２";#N/A,#N/A,FALSE,"３";#N/A,#N/A,FALSE,"４"}</definedName>
    <definedName name="________________________mtb3" hidden="1">{#N/A,#N/A,FALSE,"１";#N/A,#N/A,FALSE,"２";#N/A,#N/A,FALSE,"３";#N/A,#N/A,FALSE,"４"}</definedName>
    <definedName name="_______________________mtb3" hidden="1">{#N/A,#N/A,FALSE,"１";#N/A,#N/A,FALSE,"２";#N/A,#N/A,FALSE,"３";#N/A,#N/A,FALSE,"４"}</definedName>
    <definedName name="______________________mtb3" hidden="1">{#N/A,#N/A,FALSE,"１";#N/A,#N/A,FALSE,"２";#N/A,#N/A,FALSE,"３";#N/A,#N/A,FALSE,"４"}</definedName>
    <definedName name="_____________________mtb3" hidden="1">{#N/A,#N/A,FALSE,"１";#N/A,#N/A,FALSE,"２";#N/A,#N/A,FALSE,"３";#N/A,#N/A,FALSE,"４"}</definedName>
    <definedName name="____________________mtb3" hidden="1">{#N/A,#N/A,FALSE,"１";#N/A,#N/A,FALSE,"２";#N/A,#N/A,FALSE,"３";#N/A,#N/A,FALSE,"４"}</definedName>
    <definedName name="___________________mtb3" hidden="1">{#N/A,#N/A,FALSE,"１";#N/A,#N/A,FALSE,"２";#N/A,#N/A,FALSE,"３";#N/A,#N/A,FALSE,"４"}</definedName>
    <definedName name="__________________mtb3" hidden="1">{#N/A,#N/A,FALSE,"１";#N/A,#N/A,FALSE,"２";#N/A,#N/A,FALSE,"３";#N/A,#N/A,FALSE,"４"}</definedName>
    <definedName name="_________________mtb3" hidden="1">{#N/A,#N/A,FALSE,"１";#N/A,#N/A,FALSE,"２";#N/A,#N/A,FALSE,"３";#N/A,#N/A,FALSE,"４"}</definedName>
    <definedName name="________________mtb3" hidden="1">{#N/A,#N/A,FALSE,"１";#N/A,#N/A,FALSE,"２";#N/A,#N/A,FALSE,"３";#N/A,#N/A,FALSE,"４"}</definedName>
    <definedName name="_______________mtb3" hidden="1">{#N/A,#N/A,FALSE,"１";#N/A,#N/A,FALSE,"２";#N/A,#N/A,FALSE,"３";#N/A,#N/A,FALSE,"４"}</definedName>
    <definedName name="______________mtb3" hidden="1">{#N/A,#N/A,FALSE,"１";#N/A,#N/A,FALSE,"２";#N/A,#N/A,FALSE,"３";#N/A,#N/A,FALSE,"４"}</definedName>
    <definedName name="_____________mtb3" hidden="1">{#N/A,#N/A,FALSE,"１";#N/A,#N/A,FALSE,"２";#N/A,#N/A,FALSE,"３";#N/A,#N/A,FALSE,"４"}</definedName>
    <definedName name="____________mtb3" hidden="1">{#N/A,#N/A,FALSE,"１";#N/A,#N/A,FALSE,"２";#N/A,#N/A,FALSE,"３";#N/A,#N/A,FALSE,"４"}</definedName>
    <definedName name="___________mtb3" hidden="1">{#N/A,#N/A,FALSE,"１";#N/A,#N/A,FALSE,"２";#N/A,#N/A,FALSE,"３";#N/A,#N/A,FALSE,"４"}</definedName>
    <definedName name="__________mtb3" hidden="1">{#N/A,#N/A,FALSE,"１";#N/A,#N/A,FALSE,"２";#N/A,#N/A,FALSE,"３";#N/A,#N/A,FALSE,"４"}</definedName>
    <definedName name="_________mtb3" hidden="1">{#N/A,#N/A,FALSE,"１";#N/A,#N/A,FALSE,"２";#N/A,#N/A,FALSE,"３";#N/A,#N/A,FALSE,"４"}</definedName>
    <definedName name="________ｍｔｂ2" hidden="1">{"ｹﾝﾄ（M)",#N/A,FALSE,"収支・日割";"ｹﾝﾄ（RD)",#N/A,FALSE,"収支・日割";"ｹﾝﾄ（PMC)",#N/A,FALSE,"収支・日割"}</definedName>
    <definedName name="________mtb3" hidden="1">{#N/A,#N/A,FALSE,"１";#N/A,#N/A,FALSE,"２";#N/A,#N/A,FALSE,"３";#N/A,#N/A,FALSE,"４"}</definedName>
    <definedName name="_______ｍｔｂ2" hidden="1">{"ｹﾝﾄ（M)",#N/A,FALSE,"収支・日割";"ｹﾝﾄ（RD)",#N/A,FALSE,"収支・日割";"ｹﾝﾄ（PMC)",#N/A,FALSE,"収支・日割"}</definedName>
    <definedName name="_______mtb3" hidden="1">{#N/A,#N/A,FALSE,"１";#N/A,#N/A,FALSE,"２";#N/A,#N/A,FALSE,"３";#N/A,#N/A,FALSE,"４"}</definedName>
    <definedName name="______jo1" hidden="1">{#N/A,#N/A,FALSE,"Calculator"}</definedName>
    <definedName name="______ｍｔｂ2" hidden="1">{"ｹﾝﾄ（M)",#N/A,FALSE,"収支・日割";"ｹﾝﾄ（RD)",#N/A,FALSE,"収支・日割";"ｹﾝﾄ（PMC)",#N/A,FALSE,"収支・日割"}</definedName>
    <definedName name="______mtb3" hidden="1">{#N/A,#N/A,FALSE,"１";#N/A,#N/A,FALSE,"２";#N/A,#N/A,FALSE,"３";#N/A,#N/A,FALSE,"４"}</definedName>
    <definedName name="______r" hidden="1">{#N/A,#N/A,FALSE,"Actual";#N/A,#N/A,FALSE,"Management Report 2";#N/A,#N/A,FALSE,"Management Report 3";#N/A,#N/A,FALSE,"Ergebnis";#N/A,#N/A,FALSE,"Summary";#N/A,#N/A,FALSE,"Konrzern";#N/A,#N/A,FALSE,"Abweichung Budget-Actuell"}</definedName>
    <definedName name="______www1" hidden="1">{#N/A,#N/A,FALSE,"Calculator"}</definedName>
    <definedName name="______www2" hidden="1">{#N/A,#N/A,FALSE,"Calculator"}</definedName>
    <definedName name="_____ｍｔｂ2" hidden="1">{"ｹﾝﾄ（M)",#N/A,FALSE,"収支・日割";"ｹﾝﾄ（RD)",#N/A,FALSE,"収支・日割";"ｹﾝﾄ（PMC)",#N/A,FALSE,"収支・日割"}</definedName>
    <definedName name="_____mtb3" hidden="1">{#N/A,#N/A,FALSE,"１";#N/A,#N/A,FALSE,"２";#N/A,#N/A,FALSE,"３";#N/A,#N/A,FALSE,"４"}</definedName>
    <definedName name="____jo1" hidden="1">{#N/A,#N/A,FALSE,"Calculator"}</definedName>
    <definedName name="____ｍｔｂ2" hidden="1">{"ｹﾝﾄ（M)",#N/A,FALSE,"収支・日割";"ｹﾝﾄ（RD)",#N/A,FALSE,"収支・日割";"ｹﾝﾄ（PMC)",#N/A,FALSE,"収支・日割"}</definedName>
    <definedName name="____mtb3" hidden="1">{#N/A,#N/A,FALSE,"１";#N/A,#N/A,FALSE,"２";#N/A,#N/A,FALSE,"３";#N/A,#N/A,FALSE,"４"}</definedName>
    <definedName name="____mtb4" hidden="1">{#N/A,#N/A,FALSE,"１";#N/A,#N/A,FALSE,"２";#N/A,#N/A,FALSE,"３";#N/A,#N/A,FALSE,"４"}</definedName>
    <definedName name="____r" hidden="1">{#N/A,#N/A,FALSE,"Actual";#N/A,#N/A,FALSE,"Management Report 2";#N/A,#N/A,FALSE,"Management Report 3";#N/A,#N/A,FALSE,"Ergebnis";#N/A,#N/A,FALSE,"Summary";#N/A,#N/A,FALSE,"Konrzern";#N/A,#N/A,FALSE,"Abweichung Budget-Actuell"}</definedName>
    <definedName name="____www1" hidden="1">{#N/A,#N/A,FALSE,"Calculator"}</definedName>
    <definedName name="____www2" hidden="1">{#N/A,#N/A,FALSE,"Calculator"}</definedName>
    <definedName name="___1f09_" hidden="1">{#N/A,#N/A,FALSE,"OperatingAssumptions"}</definedName>
    <definedName name="___2s12_" hidden="1">{#N/A,#N/A,FALSE,"LoanAssumptions"}</definedName>
    <definedName name="___f09" hidden="1">{#N/A,#N/A,FALSE,"OperatingAssumptions"}</definedName>
    <definedName name="___ｍｔｂ2" hidden="1">{"ｹﾝﾄ（M)",#N/A,FALSE,"収支・日割";"ｹﾝﾄ（RD)",#N/A,FALSE,"収支・日割";"ｹﾝﾄ（PMC)",#N/A,FALSE,"収支・日割"}</definedName>
    <definedName name="___mtb3" hidden="1">{#N/A,#N/A,FALSE,"１";#N/A,#N/A,FALSE,"２";#N/A,#N/A,FALSE,"３";#N/A,#N/A,FALSE,"４"}</definedName>
    <definedName name="___pd4" hidden="1">{"AnnualRentRoll",#N/A,FALSE,"RentRoll"}</definedName>
    <definedName name="___s12" hidden="1">{#N/A,#N/A,FALSE,"LoanAssumptions"}</definedName>
    <definedName name="___vf6" hidden="1">{#N/A,#N/A,FALSE,"Summary"}</definedName>
    <definedName name="__1__123Graph_AIRR_IRR" hidden="1">#REF!</definedName>
    <definedName name="__123Graph_A" localSheetId="6" hidden="1">#REF!</definedName>
    <definedName name="__123Graph_A" localSheetId="5" hidden="1">#REF!</definedName>
    <definedName name="__123Graph_A" hidden="1">#REF!</definedName>
    <definedName name="__123Graph_A1" hidden="1">#REF!</definedName>
    <definedName name="__123Graph_A2" hidden="1">#REF!</definedName>
    <definedName name="__123Graph_A3" hidden="1">#REF!</definedName>
    <definedName name="__123Graph_A3月毎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GRPH_EXPIRE" hidden="1">#N/A</definedName>
    <definedName name="__123Graph_ATOP10" hidden="1">#N/A</definedName>
    <definedName name="__123Graph_AVENTEPAS" hidden="1">#REF!</definedName>
    <definedName name="__123Graph_Aｸﾞﾗﾌ10" hidden="1">#REF!</definedName>
    <definedName name="__123Graph_Aｸﾞﾗﾌ11" hidden="1">#REF!</definedName>
    <definedName name="__123Graph_Aｸﾞﾗﾌ12" hidden="1">#REF!</definedName>
    <definedName name="__123Graph_Aｸﾞﾗﾌ13" hidden="1">#REF!</definedName>
    <definedName name="__123Graph_Aｸﾞﾗﾌ14" hidden="1">#REF!</definedName>
    <definedName name="__123Graph_Aｸﾞﾗﾌ15" hidden="1">#REF!</definedName>
    <definedName name="__123Graph_Aｸﾞﾗﾌ16" hidden="1">#REF!</definedName>
    <definedName name="__123Graph_Aｸﾞﾗﾌ17" hidden="1">#REF!</definedName>
    <definedName name="__123Graph_Aｸﾞﾗﾌ3" hidden="1">#REF!</definedName>
    <definedName name="__123Graph_Aｸﾞﾗﾌ4" hidden="1">#REF!</definedName>
    <definedName name="__123Graph_Aｸﾞﾗﾌ6" hidden="1">#REF!</definedName>
    <definedName name="__123Graph_Aｸﾞﾗﾌ8" hidden="1">#REF!</definedName>
    <definedName name="__123Graph_A移動平均値" hidden="1">#REF!</definedName>
    <definedName name="__123Graph_A期1" hidden="1">#REF!</definedName>
    <definedName name="__123Graph_A件数" hidden="1">#REF!</definedName>
    <definedName name="__123Graph_A土地移転件件数" hidden="1">#REF!</definedName>
    <definedName name="__123Graph_A현재" hidden="1">#REF!</definedName>
    <definedName name="__123Graph_B" hidden="1">#REF!</definedName>
    <definedName name="__123Graph_B1" hidden="1">#REF!</definedName>
    <definedName name="__123Graph_B2" hidden="1">#REF!</definedName>
    <definedName name="__123Graph_B3" hidden="1">#REF!</definedName>
    <definedName name="__123Graph_B3月毎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TOP10" hidden="1">#N/A</definedName>
    <definedName name="__123Graph_BVENTEPAS" hidden="1">#REF!</definedName>
    <definedName name="__123Graph_Bｸﾞﾗﾌ10" hidden="1">#REF!</definedName>
    <definedName name="__123Graph_Bｸﾞﾗﾌ11" hidden="1">#REF!</definedName>
    <definedName name="__123Graph_Bｸﾞﾗﾌ12" hidden="1">#REF!</definedName>
    <definedName name="__123Graph_Bｸﾞﾗﾌ13" hidden="1">#REF!</definedName>
    <definedName name="__123Graph_Bｸﾞﾗﾌ14" hidden="1">#REF!</definedName>
    <definedName name="__123Graph_Bｸﾞﾗﾌ15" hidden="1">#REF!</definedName>
    <definedName name="__123Graph_Bｸﾞﾗﾌ16" hidden="1">#REF!</definedName>
    <definedName name="__123Graph_Bｸﾞﾗﾌ17" hidden="1">#REF!</definedName>
    <definedName name="__123Graph_Bｸﾞﾗﾌ3" hidden="1">#REF!</definedName>
    <definedName name="__123Graph_Bｸﾞﾗﾌ4" hidden="1">#REF!</definedName>
    <definedName name="__123Graph_Bｸﾞﾗﾌ6" hidden="1">#REF!</definedName>
    <definedName name="__123Graph_Bｸﾞﾗﾌ8" hidden="1">#REF!</definedName>
    <definedName name="__123Graph_B移動平均値" hidden="1">#REF!</definedName>
    <definedName name="__123Graph_B期1" hidden="1">#REF!</definedName>
    <definedName name="__123Graph_B현재" hidden="1">#REF!</definedName>
    <definedName name="__123Graph_C" hidden="1">#REF!</definedName>
    <definedName name="__123Graph_C1" hidden="1">#REF!</definedName>
    <definedName name="__123Graph_C2" hidden="1">#REF!</definedName>
    <definedName name="__123Graph_C3" hidden="1">#REF!</definedName>
    <definedName name="__123Graph_C3月毎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VENTEPAS" hidden="1">#REF!</definedName>
    <definedName name="__123Graph_Cｸﾞﾗﾌ10" hidden="1">#REF!</definedName>
    <definedName name="__123Graph_Cｸﾞﾗﾌ11" hidden="1">#REF!</definedName>
    <definedName name="__123Graph_Cｸﾞﾗﾌ12" hidden="1">#REF!</definedName>
    <definedName name="__123Graph_Cｸﾞﾗﾌ13" hidden="1">#REF!</definedName>
    <definedName name="__123Graph_Cｸﾞﾗﾌ14" hidden="1">#REF!</definedName>
    <definedName name="__123Graph_Cｸﾞﾗﾌ15" hidden="1">#REF!</definedName>
    <definedName name="__123Graph_Cｸﾞﾗﾌ16" hidden="1">#REF!</definedName>
    <definedName name="__123Graph_Cｸﾞﾗﾌ17" hidden="1">#REF!</definedName>
    <definedName name="__123Graph_Cｸﾞﾗﾌ3" hidden="1">#REF!</definedName>
    <definedName name="__123Graph_Cｸﾞﾗﾌ4" hidden="1">#REF!</definedName>
    <definedName name="__123Graph_Cｸﾞﾗﾌ6" hidden="1">#REF!</definedName>
    <definedName name="__123Graph_Cｸﾞﾗﾌ8" hidden="1">#REF!</definedName>
    <definedName name="__123Graph_C移動平均値" hidden="1">#REF!</definedName>
    <definedName name="__123Graph_C期1" hidden="1">#REF!</definedName>
    <definedName name="__123Graph_C현재" hidden="1">#REF!</definedName>
    <definedName name="__123Graph_D" hidden="1">#REF!</definedName>
    <definedName name="__123Graph_D1" hidden="1">#REF!</definedName>
    <definedName name="__123Graph_D2" hidden="1">#REF!</definedName>
    <definedName name="__123Graph_D3" hidden="1">#REF!</definedName>
    <definedName name="__123Graph_D3月毎" hidden="1">#REF!</definedName>
    <definedName name="__123Graph_Dｸﾞﾗﾌ15" hidden="1">#REF!</definedName>
    <definedName name="__123Graph_Dｸﾞﾗﾌ16" hidden="1">#REF!</definedName>
    <definedName name="__123Graph_Dｸﾞﾗﾌ17" hidden="1">#REF!</definedName>
    <definedName name="__123Graph_Dｸﾞﾗﾌ4" hidden="1">#REF!</definedName>
    <definedName name="__123Graph_D移動平均値" hidden="1">#REF!</definedName>
    <definedName name="__123Graph_D期1" hidden="1">#REF!</definedName>
    <definedName name="__123Graph_E" hidden="1">#REF!</definedName>
    <definedName name="__123Graph_E3月毎" hidden="1">#REF!</definedName>
    <definedName name="__123Graph_E移動平均値" hidden="1">#REF!</definedName>
    <definedName name="__123Graph_E期1" hidden="1">#REF!</definedName>
    <definedName name="__123Graph_F" hidden="1">#REF!</definedName>
    <definedName name="__123Graph_LBL_Bｸﾞﾗﾌ14" hidden="1">#REF!</definedName>
    <definedName name="__123Graph_X" localSheetId="6" hidden="1">#REF!</definedName>
    <definedName name="__123Graph_X" localSheetId="5" hidden="1">#REF!</definedName>
    <definedName name="__123Graph_X" hidden="1">#REF!</definedName>
    <definedName name="__123Graph_X1" hidden="1">#REF!</definedName>
    <definedName name="__123Graph_X2" hidden="1">#REF!</definedName>
    <definedName name="__123Graph_X3" hidden="1">#REF!</definedName>
    <definedName name="__123Graph_X3月毎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GRPH_EXPIRE" hidden="1">#N/A</definedName>
    <definedName name="__123Graph_XTOP10" hidden="1">#N/A</definedName>
    <definedName name="__123Graph_XVENTEPAS" hidden="1">#REF!</definedName>
    <definedName name="__123Graph_Xｸﾞﾗﾌ10" hidden="1">#REF!</definedName>
    <definedName name="__123Graph_Xｸﾞﾗﾌ11" hidden="1">#REF!</definedName>
    <definedName name="__123Graph_Xｸﾞﾗﾌ13" hidden="1">#REF!</definedName>
    <definedName name="__123Graph_Xｸﾞﾗﾌ14" hidden="1">#REF!</definedName>
    <definedName name="__123Graph_Xｸﾞﾗﾌ15" hidden="1">#REF!</definedName>
    <definedName name="__123Graph_Xｸﾞﾗﾌ16" hidden="1">#REF!</definedName>
    <definedName name="__123Graph_Xｸﾞﾗﾌ17" hidden="1">#REF!</definedName>
    <definedName name="__123Graph_X移動平均値" hidden="1">#REF!</definedName>
    <definedName name="__123Graph_X期1" hidden="1">#REF!</definedName>
    <definedName name="__123Graph_X件数" hidden="1">#REF!</definedName>
    <definedName name="__123Graph_X土地移転件件数" hidden="1">#REF!</definedName>
    <definedName name="__123Graph_X현재" hidden="1">#REF!</definedName>
    <definedName name="__1f09_" hidden="1">{#N/A,#N/A,FALSE,"OperatingAssumptions"}</definedName>
    <definedName name="__2__123Graph_AMOF_NB" hidden="1">#REF!</definedName>
    <definedName name="__2s12_" hidden="1">{#N/A,#N/A,FALSE,"LoanAssumptions"}</definedName>
    <definedName name="__3__123Graph_BIRR_IRR" hidden="1">#REF!</definedName>
    <definedName name="__4__123Graph_BMOF_NB" hidden="1">#REF!</definedName>
    <definedName name="__5__123Graph_XIRR_IRR" hidden="1">#REF!</definedName>
    <definedName name="__6__123Graph_XMOF_NB" hidden="1">#REF!</definedName>
    <definedName name="__ＤＡ2" hidden="1">{"Actual",#N/A,FALSE,"(価格)";"Market",#N/A,FALSE,"(価格)";"Plan",#N/A,FALSE,"(価格)"}</definedName>
    <definedName name="__f09" hidden="1">{#N/A,#N/A,FALSE,"OperatingAssumptions"}</definedName>
    <definedName name="__FDS_HYPERLINK_TOGGLE_STATE__" hidden="1">"ON"</definedName>
    <definedName name="__FDS_UNIQUE_RANGE_ID_GENERATOR_COUNTER" hidden="1">1</definedName>
    <definedName name="__IntlFixup" hidden="1">TRUE</definedName>
    <definedName name="__IntlFixupTable" hidden="1">#REF!</definedName>
    <definedName name="__jo1" hidden="1">{#N/A,#N/A,FALSE,"Calculator"}</definedName>
    <definedName name="__ｍｔｂ2" hidden="1">{"ｹﾝﾄ（M)",#N/A,FALSE,"収支・日割";"ｹﾝﾄ（RD)",#N/A,FALSE,"収支・日割";"ｹﾝﾄ（PMC)",#N/A,FALSE,"収支・日割"}</definedName>
    <definedName name="__mtb3" localSheetId="6" hidden="1">{#N/A,#N/A,FALSE,"１";#N/A,#N/A,FALSE,"２";#N/A,#N/A,FALSE,"３";#N/A,#N/A,FALSE,"４"}</definedName>
    <definedName name="__mtb3" hidden="1">{#N/A,#N/A,FALSE,"１";#N/A,#N/A,FALSE,"２";#N/A,#N/A,FALSE,"３";#N/A,#N/A,FALSE,"４"}</definedName>
    <definedName name="__mtb4" hidden="1">{#N/A,#N/A,FALSE,"１";#N/A,#N/A,FALSE,"２";#N/A,#N/A,FALSE,"３";#N/A,#N/A,FALSE,"４"}</definedName>
    <definedName name="__pd4" hidden="1">{"AnnualRentRoll",#N/A,FALSE,"RentRoll"}</definedName>
    <definedName name="__PL7" hidden="1">{#N/A,#N/A,TRUE,"대 차 대 조 표"}</definedName>
    <definedName name="__r" hidden="1">{#N/A,#N/A,FALSE,"Actual";#N/A,#N/A,FALSE,"Management Report 2";#N/A,#N/A,FALSE,"Management Report 3";#N/A,#N/A,FALSE,"Ergebnis";#N/A,#N/A,FALSE,"Summary";#N/A,#N/A,FALSE,"Konrzern";#N/A,#N/A,FALSE,"Abweichung Budget-Actuell"}</definedName>
    <definedName name="__s12" hidden="1">{#N/A,#N/A,FALSE,"LoanAssumptions"}</definedName>
    <definedName name="__vf6" hidden="1">{#N/A,#N/A,FALSE,"Summary"}</definedName>
    <definedName name="__www1" hidden="1">{#N/A,#N/A,FALSE,"Calculator"}</definedName>
    <definedName name="__www2" hidden="1">{#N/A,#N/A,FALSE,"Calculator"}</definedName>
    <definedName name="__xlfn.BAHTTEXT" hidden="1">#NAME?</definedName>
    <definedName name="_1____123Graph_A期_件数" hidden="1">#REF!</definedName>
    <definedName name="_1__123Graph_AIRR_IRR" hidden="1">#REF!</definedName>
    <definedName name="_1__FDSAUDITLINK__" hidden="1">{"fdsup://directions/FAT Viewer?action=UPDATE&amp;creator=factset&amp;DYN_ARGS=TRUE&amp;DOC_NAME=FAT:FQL_AUDITING_CLIENT_TEMPLATE.FAT&amp;display_string=Audit&amp;VAR:KEY=LQJMPCLELE&amp;VAR:QUERY=RkZfRU5UUlBSX1ZBTF9EQUlMWSgzOTIzNSwsLCwsJ0RJTCcp&amp;WINDOW=FIRST_POPUP&amp;HEIGHT=450&amp;WIDTH=","450&amp;START_MAXIMIZED=FALSE&amp;VAR:CALENDAR=US&amp;VAR:SYMBOL=URS&amp;VAR:INDEX=0"}</definedName>
    <definedName name="_10____123Graph_D期_件数" hidden="1">#REF!</definedName>
    <definedName name="_10__FDSAUDITLINK__" hidden="1">{"fdsup://directions/FAT Viewer?action=UPDATE&amp;creator=factset&amp;DYN_ARGS=TRUE&amp;DOC_NAME=FAT:FQL_AUDITING_CLIENT_TEMPLATE.FAT&amp;display_string=Audit&amp;VAR:KEY=WDOLSFSPGJ&amp;VAR:QUERY=RkZfRU5UUlBSX1ZBTF9EQUlMWSgzOTQwNSwsLCwsJ0RJTCcp&amp;WINDOW=FIRST_POPUP&amp;HEIGHT=450&amp;WIDTH=","450&amp;START_MAXIMIZED=FALSE&amp;VAR:CALENDAR=US&amp;VAR:SYMBOL=URS&amp;VAR:INDEX=0"}</definedName>
    <definedName name="_11____123Graph_E移動平均値_2" hidden="1">#REF!</definedName>
    <definedName name="_11__FDSAUDITLINK__" hidden="1">{"fdsup://directions/FAT Viewer?action=UPDATE&amp;creator=factset&amp;DYN_ARGS=TRUE&amp;DOC_NAME=FAT:FQL_AUDITING_CLIENT_TEMPLATE.FAT&amp;display_string=Audit&amp;VAR:KEY=ATGDCDOPCV&amp;VAR:QUERY=RkZfRU5UUlBSX1ZBTF9EQUlMWSgzOTM5OCwsLCwsJ0RJTCcp&amp;WINDOW=FIRST_POPUP&amp;HEIGHT=450&amp;WIDTH=","450&amp;START_MAXIMIZED=FALSE&amp;VAR:CALENDAR=US&amp;VAR:SYMBOL=URS&amp;VAR:INDEX=0"}</definedName>
    <definedName name="_12____123Graph_E移動平均値_3" hidden="1">#REF!</definedName>
    <definedName name="_12__123Graph_AIRR_IRR" hidden="1">#REF!</definedName>
    <definedName name="_12__FDSAUDITLINK__" hidden="1">{"fdsup://directions/FAT Viewer?action=UPDATE&amp;creator=factset&amp;DYN_ARGS=TRUE&amp;DOC_NAME=FAT:FQL_AUDITING_CLIENT_TEMPLATE.FAT&amp;display_string=Audit&amp;VAR:KEY=KPCBAFITYZ&amp;VAR:QUERY=RkZfRU5UUlBSX1ZBTF9EQUlMWSgzOTM5MSwsLCwsJ0RJTCcp&amp;WINDOW=FIRST_POPUP&amp;HEIGHT=450&amp;WIDTH=","450&amp;START_MAXIMIZED=FALSE&amp;VAR:CALENDAR=US&amp;VAR:SYMBOL=URS&amp;VAR:INDEX=0"}</definedName>
    <definedName name="_12f09_" hidden="1">{#N/A,#N/A,FALSE,"OperatingAssumptions"}</definedName>
    <definedName name="_12s12_" hidden="1">{#N/A,#N/A,FALSE,"LoanAssumptions"}</definedName>
    <definedName name="_13____123Graph_X移動平均値_2" hidden="1">#REF!</definedName>
    <definedName name="_13__123Graph_AMOF_NB" hidden="1">#REF!</definedName>
    <definedName name="_13__FDSAUDITLINK__" hidden="1">{"fdsup://directions/FAT Viewer?action=UPDATE&amp;creator=factset&amp;DYN_ARGS=TRUE&amp;DOC_NAME=FAT:FQL_AUDITING_CLIENT_TEMPLATE.FAT&amp;display_string=Audit&amp;VAR:KEY=ADMXMVKZWN&amp;VAR:QUERY=RkZfRU5UUlBSX1ZBTF9EQUlMWSgzOTM4NCwsLCwsJ0RJTCcp&amp;WINDOW=FIRST_POPUP&amp;HEIGHT=450&amp;WIDTH=","450&amp;START_MAXIMIZED=FALSE&amp;VAR:CALENDAR=US&amp;VAR:SYMBOL=URS&amp;VAR:INDEX=0"}</definedName>
    <definedName name="_14____123Graph_X移動平均値_3" hidden="1">#REF!</definedName>
    <definedName name="_14__FDSAUDITLINK__" hidden="1">{"fdsup://directions/FAT Viewer?action=UPDATE&amp;creator=factset&amp;DYN_ARGS=TRUE&amp;DOC_NAME=FAT:FQL_AUDITING_CLIENT_TEMPLATE.FAT&amp;display_string=Audit&amp;VAR:KEY=WXALQRAXWJ&amp;VAR:QUERY=RkZfRU5UUlBSX1ZBTF9EQUlMWSgzOTM3NywsLCwsJ0RJTCcp&amp;WINDOW=FIRST_POPUP&amp;HEIGHT=450&amp;WIDTH=","450&amp;START_MAXIMIZED=FALSE&amp;VAR:CALENDAR=US&amp;VAR:SYMBOL=URS&amp;VAR:INDEX=0"}</definedName>
    <definedName name="_14f09_" hidden="1">{#N/A,#N/A,FALSE,"OperatingAssumptions"}</definedName>
    <definedName name="_14s12_" hidden="1">{#N/A,#N/A,FALSE,"LoanAssumptions"}</definedName>
    <definedName name="_15____123Graph_X期_件数" hidden="1">#REF!</definedName>
    <definedName name="_15__FDSAUDITLINK__" hidden="1">{"fdsup://directions/FAT Viewer?action=UPDATE&amp;creator=factset&amp;DYN_ARGS=TRUE&amp;DOC_NAME=FAT:FQL_AUDITING_CLIENT_TEMPLATE.FAT&amp;display_string=Audit&amp;VAR:KEY=ELALYFYBUX&amp;VAR:QUERY=RkZfRU5UUlBSX1ZBTF9EQUlMWSgzOTM3MCwsLCwsJ0RJTCcp&amp;WINDOW=FIRST_POPUP&amp;HEIGHT=450&amp;WIDTH=","450&amp;START_MAXIMIZED=FALSE&amp;VAR:CALENDAR=US&amp;VAR:SYMBOL=URS&amp;VAR:INDEX=0"}</definedName>
    <definedName name="_16___123Graph_A期_件数" hidden="1">#REF!</definedName>
    <definedName name="_16__FDSAUDITLINK__" hidden="1">{"fdsup://directions/FAT Viewer?action=UPDATE&amp;creator=factset&amp;DYN_ARGS=TRUE&amp;DOC_NAME=FAT:FQL_AUDITING_CLIENT_TEMPLATE.FAT&amp;display_string=Audit&amp;VAR:KEY=UROFSHWJKX&amp;VAR:QUERY=RkZfRU5UUlBSX1ZBTF9EQUlMWSgzOTM2MywsLCwsJ0RJTCcp&amp;WINDOW=FIRST_POPUP&amp;HEIGHT=450&amp;WIDTH=","450&amp;START_MAXIMIZED=FALSE&amp;VAR:CALENDAR=US&amp;VAR:SYMBOL=URS&amp;VAR:INDEX=0"}</definedName>
    <definedName name="_17___123Graph_B移動平均値_2" hidden="1">#REF!</definedName>
    <definedName name="_17__FDSAUDITLINK__" hidden="1">{"fdsup://directions/FAT Viewer?action=UPDATE&amp;creator=factset&amp;DYN_ARGS=TRUE&amp;DOC_NAME=FAT:FQL_AUDITING_CLIENT_TEMPLATE.FAT&amp;display_string=Audit&amp;VAR:KEY=YLAJSTKNSP&amp;VAR:QUERY=RkZfRU5UUlBSX1ZBTF9EQUlMWSgzOTM1NiwsLCwsJ0RJTCcp&amp;WINDOW=FIRST_POPUP&amp;HEIGHT=450&amp;WIDTH=","450&amp;START_MAXIMIZED=FALSE&amp;VAR:CALENDAR=US&amp;VAR:SYMBOL=URS&amp;VAR:INDEX=0"}</definedName>
    <definedName name="_17s12_" hidden="1">{#N/A,#N/A,FALSE,"LoanAssumptions"}</definedName>
    <definedName name="_18___123Graph_B移動平均値_3" hidden="1">#REF!</definedName>
    <definedName name="_18__FDSAUDITLINK__" hidden="1">{"fdsup://directions/FAT Viewer?action=UPDATE&amp;creator=factset&amp;DYN_ARGS=TRUE&amp;DOC_NAME=FAT:FQL_AUDITING_CLIENT_TEMPLATE.FAT&amp;display_string=Audit&amp;VAR:KEY=WJSVAXKHGH&amp;VAR:QUERY=RkZfRU5UUlBSX1ZBTF9EQUlMWSgzOTM0OSwsLCwsJ0RJTCcp&amp;WINDOW=FIRST_POPUP&amp;HEIGHT=450&amp;WIDTH=","450&amp;START_MAXIMIZED=FALSE&amp;VAR:CALENDAR=US&amp;VAR:SYMBOL=URS&amp;VAR:INDEX=0"}</definedName>
    <definedName name="_19___123Graph_B期_件数" hidden="1">#REF!</definedName>
    <definedName name="_19__FDSAUDITLINK__" hidden="1">{"fdsup://directions/FAT Viewer?action=UPDATE&amp;creator=factset&amp;DYN_ARGS=TRUE&amp;DOC_NAME=FAT:FQL_AUDITING_CLIENT_TEMPLATE.FAT&amp;display_string=Audit&amp;VAR:KEY=YTYXMHYJAL&amp;VAR:QUERY=RkZfRU5UUlBSX1ZBTF9EQUlMWSgzOTM0MiwsLCwsJ0RJTCcp&amp;WINDOW=FIRST_POPUP&amp;HEIGHT=450&amp;WIDTH=","450&amp;START_MAXIMIZED=FALSE&amp;VAR:CALENDAR=US&amp;VAR:SYMBOL=URS&amp;VAR:INDEX=0"}</definedName>
    <definedName name="_1f09_" hidden="1">{#N/A,#N/A,FALSE,"OperatingAssumptions"}</definedName>
    <definedName name="_2____123Graph_B移動平均値_2" hidden="1">#REF!</definedName>
    <definedName name="_2__123Graph_AMOF_NB" hidden="1">#REF!</definedName>
    <definedName name="_2__123Graph_Aグラフ_1AY" hidden="1">#REF!</definedName>
    <definedName name="_2__FDSAUDITLINK__" hidden="1">{"fdsup://directions/FAT Viewer?action=UPDATE&amp;creator=factset&amp;DYN_ARGS=TRUE&amp;DOC_NAME=FAT:FQL_AUDITING_CLIENT_TEMPLATE.FAT&amp;display_string=Audit&amp;VAR:KEY=OFAPOXWVSR&amp;VAR:QUERY=RkZfRU5UUlBSX1ZBTF9EQUlMWSgzOTQ2MSwsLCwsJ0RJTCcp&amp;WINDOW=FIRST_POPUP&amp;HEIGHT=450&amp;WIDTH=","450&amp;START_MAXIMIZED=FALSE&amp;VAR:CALENDAR=US&amp;VAR:SYMBOL=URS&amp;VAR:INDEX=0"}</definedName>
    <definedName name="_20___123Graph_C移動平均値_2" hidden="1">#REF!</definedName>
    <definedName name="_20__FDSAUDITLINK__" hidden="1">{"fdsup://directions/FAT Viewer?action=UPDATE&amp;creator=factset&amp;DYN_ARGS=TRUE&amp;DOC_NAME=FAT:FQL_AUDITING_CLIENT_TEMPLATE.FAT&amp;display_string=Audit&amp;VAR:KEY=KNWNINUXUN&amp;VAR:QUERY=RkZfRU5UUlBSX1ZBTF9EQUlMWSgzOTMzNSwsLCwsJ0RJTCcp&amp;WINDOW=FIRST_POPUP&amp;HEIGHT=450&amp;WIDTH=","450&amp;START_MAXIMIZED=FALSE&amp;VAR:CALENDAR=US&amp;VAR:SYMBOL=URS&amp;VAR:INDEX=0"}</definedName>
    <definedName name="_20s12_" hidden="1">{#N/A,#N/A,FALSE,"LoanAssumptions"}</definedName>
    <definedName name="_21___123Graph_C移動平均値_3" hidden="1">#REF!</definedName>
    <definedName name="_21__FDSAUDITLINK__" hidden="1">{"fdsup://directions/FAT Viewer?action=UPDATE&amp;creator=factset&amp;DYN_ARGS=TRUE&amp;DOC_NAME=FAT:FQL_AUDITING_CLIENT_TEMPLATE.FAT&amp;display_string=Audit&amp;VAR:KEY=ITEHCLIXQZ&amp;VAR:QUERY=RkZfRU5UUlBSX1ZBTF9EQUlMWSgzOTMyMSwsLCwsJ0RJTCcp&amp;WINDOW=FIRST_POPUP&amp;HEIGHT=450&amp;WIDTH=","450&amp;START_MAXIMIZED=FALSE&amp;VAR:CALENDAR=US&amp;VAR:SYMBOL=URS&amp;VAR:INDEX=0"}</definedName>
    <definedName name="_22___123Graph_C期_件数" hidden="1">#REF!</definedName>
    <definedName name="_22__FDSAUDITLINK__" hidden="1">{"fdsup://directions/FAT Viewer?action=UPDATE&amp;creator=factset&amp;DYN_ARGS=TRUE&amp;DOC_NAME=FAT:FQL_AUDITING_CLIENT_TEMPLATE.FAT&amp;display_string=Audit&amp;VAR:KEY=GLQRGHCDSV&amp;VAR:QUERY=RkZfRU5UUlBSX1ZBTF9EQUlMWSgzOTMxNCwsLCwsJ0RJTCcp&amp;WINDOW=FIRST_POPUP&amp;HEIGHT=450&amp;WIDTH=","450&amp;START_MAXIMIZED=FALSE&amp;VAR:CALENDAR=US&amp;VAR:SYMBOL=URS&amp;VAR:INDEX=0"}</definedName>
    <definedName name="_23___123Graph_D移動平均値_2" hidden="1">#REF!</definedName>
    <definedName name="_23__FDSAUDITLINK__" hidden="1">{"fdsup://directions/FAT Viewer?action=UPDATE&amp;creator=factset&amp;DYN_ARGS=TRUE&amp;DOC_NAME=FAT:FQL_AUDITING_CLIENT_TEMPLATE.FAT&amp;display_string=Audit&amp;VAR:KEY=SFKPYHOPIT&amp;VAR:QUERY=RkZfRU5UUlBSX1ZBTF9EQUlMWSgzOTMwNywsLCwsJ0RJTCcp&amp;WINDOW=FIRST_POPUP&amp;HEIGHT=450&amp;WIDTH=","450&amp;START_MAXIMIZED=FALSE&amp;VAR:CALENDAR=US&amp;VAR:SYMBOL=URS&amp;VAR:INDEX=0"}</definedName>
    <definedName name="_24___123Graph_D移動平均値_3" hidden="1">#REF!</definedName>
    <definedName name="_24__FDSAUDITLINK__" hidden="1">{"fdsup://directions/FAT Viewer?action=UPDATE&amp;creator=factset&amp;DYN_ARGS=TRUE&amp;DOC_NAME=FAT:FQL_AUDITING_CLIENT_TEMPLATE.FAT&amp;display_string=Audit&amp;VAR:KEY=CVSLGBYTOJ&amp;VAR:QUERY=RkZfRU5UUlBSX1ZBTF9EQUlMWSgzOTMwMCwsLCwsJ0RJTCcp&amp;WINDOW=FIRST_POPUP&amp;HEIGHT=450&amp;WIDTH=","450&amp;START_MAXIMIZED=FALSE&amp;VAR:CALENDAR=US&amp;VAR:SYMBOL=URS&amp;VAR:INDEX=0"}</definedName>
    <definedName name="_25___123Graph_D期_件数" hidden="1">#REF!</definedName>
    <definedName name="_25__123Graph_BIRR_IRR" hidden="1">#REF!</definedName>
    <definedName name="_25__FDSAUDITLINK__" hidden="1">{"fdsup://directions/FAT Viewer?action=UPDATE&amp;creator=factset&amp;DYN_ARGS=TRUE&amp;DOC_NAME=FAT:FQL_AUDITING_CLIENT_TEMPLATE.FAT&amp;display_string=Audit&amp;VAR:KEY=EBMRKFWHCJ&amp;VAR:QUERY=RkZfRU5UUlBSX1ZBTF9EQUlMWSgzOTI5MywsLCwsJ0RJTCcp&amp;WINDOW=FIRST_POPUP&amp;HEIGHT=450&amp;WIDTH=","450&amp;START_MAXIMIZED=FALSE&amp;VAR:CALENDAR=US&amp;VAR:SYMBOL=URS&amp;VAR:INDEX=0"}</definedName>
    <definedName name="_25s12_" hidden="1">{#N/A,#N/A,FALSE,"LoanAssumptions"}</definedName>
    <definedName name="_26___123Graph_E移動平均値_2" hidden="1">#REF!</definedName>
    <definedName name="_26__FDSAUDITLINK__" hidden="1">{"fdsup://directions/FAT Viewer?action=UPDATE&amp;creator=factset&amp;DYN_ARGS=TRUE&amp;DOC_NAME=FAT:FQL_AUDITING_CLIENT_TEMPLATE.FAT&amp;display_string=Audit&amp;VAR:KEY=SDQPEZIFCD&amp;VAR:QUERY=RkZfRU5UUlBSX1ZBTF9EQUlMWSgzOTI4NiwsLCwsJ0RJTCcp&amp;WINDOW=FIRST_POPUP&amp;HEIGHT=450&amp;WIDTH=","450&amp;START_MAXIMIZED=FALSE&amp;VAR:CALENDAR=US&amp;VAR:SYMBOL=URS&amp;VAR:INDEX=0"}</definedName>
    <definedName name="_27___123Graph_E移動平均値_3" hidden="1">#REF!</definedName>
    <definedName name="_27__FDSAUDITLINK__" hidden="1">{"fdsup://directions/FAT Viewer?action=UPDATE&amp;creator=factset&amp;DYN_ARGS=TRUE&amp;DOC_NAME=FAT:FQL_AUDITING_CLIENT_TEMPLATE.FAT&amp;display_string=Audit&amp;VAR:KEY=QPCBWDCLOP&amp;VAR:QUERY=RkZfRU5UUlBSX1ZBTF9EQUlMWSgzOTI3OSwsLCwsJ0RJTCcp&amp;WINDOW=FIRST_POPUP&amp;HEIGHT=450&amp;WIDTH=","450&amp;START_MAXIMIZED=FALSE&amp;VAR:CALENDAR=US&amp;VAR:SYMBOL=URS&amp;VAR:INDEX=0"}</definedName>
    <definedName name="_28___123Graph_X移動平均値_2" hidden="1">#REF!</definedName>
    <definedName name="_28__FDSAUDITLINK__" hidden="1">{"fdsup://directions/FAT Viewer?action=UPDATE&amp;creator=factset&amp;DYN_ARGS=TRUE&amp;DOC_NAME=FAT:FQL_AUDITING_CLIENT_TEMPLATE.FAT&amp;display_string=Audit&amp;VAR:KEY=GVCRYBEVSR&amp;VAR:QUERY=RkZfRU5UUlBSX1ZBTF9EQUlMWSgzOTI3MiwsLCwsJ0RJTCcp&amp;WINDOW=FIRST_POPUP&amp;HEIGHT=450&amp;WIDTH=","450&amp;START_MAXIMIZED=FALSE&amp;VAR:CALENDAR=US&amp;VAR:SYMBOL=URS&amp;VAR:INDEX=0"}</definedName>
    <definedName name="_29___123Graph_X移動平均値_3" hidden="1">#REF!</definedName>
    <definedName name="_29__FDSAUDITLINK__" hidden="1">{"fdsup://directions/FAT Viewer?action=UPDATE&amp;creator=factset&amp;DYN_ARGS=TRUE&amp;DOC_NAME=FAT:FQL_AUDITING_CLIENT_TEMPLATE.FAT&amp;display_string=Audit&amp;VAR:KEY=MXYPWJSFER&amp;VAR:QUERY=RkZfRU5UUlBSX1ZBTF9EQUlMWSgzOTI2NSwsLCwsJ0RJTCcp&amp;WINDOW=FIRST_POPUP&amp;HEIGHT=450&amp;WIDTH=","450&amp;START_MAXIMIZED=FALSE&amp;VAR:CALENDAR=US&amp;VAR:SYMBOL=URS&amp;VAR:INDEX=0"}</definedName>
    <definedName name="_2s12_" hidden="1">{#N/A,#N/A,FALSE,"LoanAssumptions"}</definedName>
    <definedName name="_3____123Graph_B移動平均値_3" hidden="1">#REF!</definedName>
    <definedName name="_3__123Graph_AMOF_NB" hidden="1">#REF!</definedName>
    <definedName name="_3__123Graph_BIRR_IRR" hidden="1">#REF!</definedName>
    <definedName name="_3__FDSAUDITLINK__" hidden="1">{"fdsup://directions/FAT Viewer?action=UPDATE&amp;creator=factset&amp;DYN_ARGS=TRUE&amp;DOC_NAME=FAT:FQL_AUDITING_CLIENT_TEMPLATE.FAT&amp;display_string=Audit&amp;VAR:KEY=UBGVKLGVCN&amp;VAR:QUERY=RkZfRU5UUlBSX1ZBTF9EQUlMWSgzOTQ1NCwsLCwsJ0RJTCcp&amp;WINDOW=FIRST_POPUP&amp;HEIGHT=450&amp;WIDTH=","450&amp;START_MAXIMIZED=FALSE&amp;VAR:CALENDAR=US&amp;VAR:SYMBOL=URS&amp;VAR:INDEX=0"}</definedName>
    <definedName name="_30___123Graph_X期_件数" hidden="1">#REF!</definedName>
    <definedName name="_30__FDSAUDITLINK__" hidden="1">{"fdsup://directions/FAT Viewer?action=UPDATE&amp;creator=factset&amp;DYN_ARGS=TRUE&amp;DOC_NAME=FAT:FQL_AUDITING_CLIENT_TEMPLATE.FAT&amp;display_string=Audit&amp;VAR:KEY=CVKBQTEFIT&amp;VAR:QUERY=RkZfRU5UUlBSX1ZBTF9EQUlMWSgzOTI1OCwsLCwsJ0RJTCcp&amp;WINDOW=FIRST_POPUP&amp;HEIGHT=450&amp;WIDTH=","450&amp;START_MAXIMIZED=FALSE&amp;VAR:CALENDAR=US&amp;VAR:SYMBOL=URS&amp;VAR:INDEX=0"}</definedName>
    <definedName name="_30360" hidden="1">2</definedName>
    <definedName name="_31__123Graph_A期_件数" hidden="1">#REF!</definedName>
    <definedName name="_31__FDSAUDITLINK__" hidden="1">{"fdsup://directions/FAT Viewer?action=UPDATE&amp;creator=factset&amp;DYN_ARGS=TRUE&amp;DOC_NAME=FAT:FQL_AUDITING_CLIENT_TEMPLATE.FAT&amp;display_string=Audit&amp;VAR:KEY=YRSVCNELMJ&amp;VAR:QUERY=RkZfRU5UUlBSX1ZBTF9EQUlMWSgzOTI1MSwsLCwsJ0RJTCcp&amp;WINDOW=FIRST_POPUP&amp;HEIGHT=450&amp;WIDTH=","450&amp;START_MAXIMIZED=FALSE&amp;VAR:CALENDAR=US&amp;VAR:SYMBOL=URS&amp;VAR:INDEX=0"}</definedName>
    <definedName name="_32__123Graph_B移動平均値_2" hidden="1">#REF!</definedName>
    <definedName name="_32__FDSAUDITLINK__" hidden="1">{"fdsup://directions/FAT Viewer?action=UPDATE&amp;creator=factset&amp;DYN_ARGS=TRUE&amp;DOC_NAME=FAT:FQL_AUDITING_CLIENT_TEMPLATE.FAT&amp;display_string=Audit&amp;VAR:KEY=INMZCHKREJ&amp;VAR:QUERY=RkZfRU5UUlBSX1ZBTF9EQUlMWSgzOTI0NCwsLCwsJ0RJTCcp&amp;WINDOW=FIRST_POPUP&amp;HEIGHT=450&amp;WIDTH=","450&amp;START_MAXIMIZED=FALSE&amp;VAR:CALENDAR=US&amp;VAR:SYMBOL=URS&amp;VAR:INDEX=0"}</definedName>
    <definedName name="_33__123Graph_B移動平均値_3" hidden="1">#REF!</definedName>
    <definedName name="_33__FDSAUDITLINK__" hidden="1">{"fdsup://directions/FAT Viewer?action=UPDATE&amp;creator=factset&amp;DYN_ARGS=TRUE&amp;DOC_NAME=FAT:FQL_AUDITING_CLIENT_TEMPLATE.FAT&amp;display_string=Audit&amp;VAR:KEY=RCZMVATYTY&amp;VAR:QUERY=RkZfRUJJVERBX09QRVIoTFRNUywwKQ==&amp;WINDOW=FIRST_POPUP&amp;HEIGHT=450&amp;WIDTH=450&amp;START_MAXIMI","ZED=FALSE&amp;VAR:CALENDAR=US&amp;VAR:SYMBOL=403197&amp;VAR:INDEX=0"}</definedName>
    <definedName name="_34__123Graph_B期_件数" hidden="1">#REF!</definedName>
    <definedName name="_34__FDSAUDITLINK__" hidden="1">{"fdsup://directions/FAT Viewer?action=UPDATE&amp;creator=factset&amp;DYN_ARGS=TRUE&amp;DOC_NAME=FAT:FQL_AUDITING_CLIENT_TEMPLATE.FAT&amp;display_string=Audit&amp;VAR:KEY=RCZMVATYTY&amp;VAR:QUERY=RkZfRUJJVERBX09QRVIoTFRNUywwKQ==&amp;WINDOW=FIRST_POPUP&amp;HEIGHT=450&amp;WIDTH=450&amp;START_MAXIMI","ZED=FALSE&amp;VAR:CALENDAR=US&amp;VAR:SYMBOL=403197&amp;VAR:INDEX=0"}</definedName>
    <definedName name="_35__123Graph_C移動平均値_2" hidden="1">#REF!</definedName>
    <definedName name="_35__FDSAUDITLINK__" hidden="1">{"fdsup://directions/FAT Viewer?action=UPDATE&amp;creator=factset&amp;DYN_ARGS=TRUE&amp;DOC_NAME=FAT:FQL_AUDITING_CLIENT_TEMPLATE.FAT&amp;display_string=Audit&amp;VAR:KEY=LSTETGNORE&amp;VAR:QUERY=RkZfRUJJVERBX09QRVIoTFRNUywwKQ==&amp;WINDOW=FIRST_POPUP&amp;HEIGHT=450&amp;WIDTH=450&amp;START_MAXIMI","ZED=FALSE&amp;VAR:CALENDAR=US&amp;VAR:SYMBOL=402400&amp;VAR:INDEX=0"}</definedName>
    <definedName name="_36__123Graph_C移動平均値_3" hidden="1">#REF!</definedName>
    <definedName name="_36__FDSAUDITLINK__" hidden="1">{"fdsup://directions/FAT Viewer?action=UPDATE&amp;creator=factset&amp;DYN_ARGS=TRUE&amp;DOC_NAME=FAT:FQL_AUDITING_CLIENT_TEMPLATE.FAT&amp;display_string=Audit&amp;VAR:KEY=LSTETGNORE&amp;VAR:QUERY=RkZfRUJJVERBX09QRVIoTFRNUywwKQ==&amp;WINDOW=FIRST_POPUP&amp;HEIGHT=450&amp;WIDTH=450&amp;START_MAXIMI","ZED=FALSE&amp;VAR:CALENDAR=US&amp;VAR:SYMBOL=402400&amp;VAR:INDEX=0"}</definedName>
    <definedName name="_360" hidden="1">2</definedName>
    <definedName name="_37__123Graph_BMOF_NB" hidden="1">#REF!</definedName>
    <definedName name="_37__123Graph_C期_件数" hidden="1">#REF!</definedName>
    <definedName name="_37__FDSAUDITLINK__" hidden="1">{"fdsup://directions/FAT Viewer?action=UPDATE&amp;creator=factset&amp;DYN_ARGS=TRUE&amp;DOC_NAME=FAT:FQL_AUDITING_CLIENT_TEMPLATE.FAT&amp;display_string=Audit&amp;VAR:KEY=JOZGVUFQDS&amp;VAR:QUERY=RkZfRUJJVERBX09QRVIoTFRNUywwKQ==&amp;WINDOW=FIRST_POPUP&amp;HEIGHT=450&amp;WIDTH=450&amp;START_MAXIMI","ZED=FALSE&amp;VAR:CALENDAR=US&amp;VAR:SYMBOL=226236&amp;VAR:INDEX=0"}</definedName>
    <definedName name="_38__123Graph_D移動平均値_2" hidden="1">#REF!</definedName>
    <definedName name="_38__FDSAUDITLINK__" hidden="1">{"fdsup://directions/FAT Viewer?action=UPDATE&amp;creator=factset&amp;DYN_ARGS=TRUE&amp;DOC_NAME=FAT:FQL_AUDITING_CLIENT_TEMPLATE.FAT&amp;display_string=Audit&amp;VAR:KEY=JOZGVUFQDS&amp;VAR:QUERY=RkZfRUJJVERBX09QRVIoTFRNUywwKQ==&amp;WINDOW=FIRST_POPUP&amp;HEIGHT=450&amp;WIDTH=450&amp;START_MAXIMI","ZED=FALSE&amp;VAR:CALENDAR=US&amp;VAR:SYMBOL=226236&amp;VAR:INDEX=0"}</definedName>
    <definedName name="_39__123Graph_D移動平均値_3" hidden="1">#REF!</definedName>
    <definedName name="_39__FDSAUDITLINK__" hidden="1">{"fdsup://directions/FAT Viewer?action=UPDATE&amp;creator=factset&amp;DYN_ARGS=TRUE&amp;DOC_NAME=FAT:FQL_AUDITING_CLIENT_TEMPLATE.FAT&amp;display_string=Audit&amp;VAR:KEY=ZGNAHSDSLK&amp;VAR:QUERY=RkZfRUJJVERBX09QRVIoTFRNUywwKQ==&amp;WINDOW=FIRST_POPUP&amp;HEIGHT=450&amp;WIDTH=450&amp;START_MAXIMI","ZED=FALSE&amp;VAR:CALENDAR=US&amp;VAR:SYMBOL=KID&amp;VAR:INDEX=0"}</definedName>
    <definedName name="_3ＤＡ2_" hidden="1">{"Actual",#N/A,FALSE,"(価格)";"Market",#N/A,FALSE,"(価格)";"Plan",#N/A,FALSE,"(価格)"}</definedName>
    <definedName name="_3f09_" hidden="1">{#N/A,#N/A,FALSE,"OperatingAssumptions"}</definedName>
    <definedName name="_4____123Graph_B期_件数" hidden="1">#REF!</definedName>
    <definedName name="_4__123Graph_BIRR_IRR" hidden="1">#REF!</definedName>
    <definedName name="_4__123Graph_BMOF_NB" hidden="1">#REF!</definedName>
    <definedName name="_4__123Graph_Bグラフ_1AY" hidden="1">#REF!</definedName>
    <definedName name="_4__FDSAUDITLINK__" hidden="1">{"fdsup://directions/FAT Viewer?action=UPDATE&amp;creator=factset&amp;DYN_ARGS=TRUE&amp;DOC_NAME=FAT:FQL_AUDITING_CLIENT_TEMPLATE.FAT&amp;display_string=Audit&amp;VAR:KEY=ITUPERUVEV&amp;VAR:QUERY=RkZfRU5UUlBSX1ZBTF9EQUlMWSgzOTQ0NywsLCwsJ0RJTCcp&amp;WINDOW=FIRST_POPUP&amp;HEIGHT=450&amp;WIDTH=","450&amp;START_MAXIMIZED=FALSE&amp;VAR:CALENDAR=US&amp;VAR:SYMBOL=URS&amp;VAR:INDEX=0"}</definedName>
    <definedName name="_40__123Graph_D期_件数" hidden="1">#REF!</definedName>
    <definedName name="_40__FDSAUDITLINK__" hidden="1">{"fdsup://directions/FAT Viewer?action=UPDATE&amp;creator=factset&amp;DYN_ARGS=TRUE&amp;DOC_NAME=FAT:FQL_AUDITING_CLIENT_TEMPLATE.FAT&amp;display_string=Audit&amp;VAR:KEY=POBAHKXUJM&amp;VAR:QUERY=RkZfRUJJVERBX09QRVIoTFRNUywwKQ==&amp;WINDOW=FIRST_POPUP&amp;HEIGHT=450&amp;WIDTH=450&amp;START_MAXIMI","ZED=FALSE&amp;VAR:CALENDAR=US&amp;VAR:SYMBOL=ERTS&amp;VAR:INDEX=0"}</definedName>
    <definedName name="_41__123Graph_E移動平均値_2" hidden="1">#REF!</definedName>
    <definedName name="_41__FDSAUDITLINK__" hidden="1">{"fdsup://directions/FAT Viewer?action=UPDATE&amp;creator=factset&amp;DYN_ARGS=TRUE&amp;DOC_NAME=FAT:FQL_AUDITING_CLIENT_TEMPLATE.FAT&amp;display_string=Audit&amp;VAR:KEY=POBAHKXUJM&amp;VAR:QUERY=RkZfRUJJVERBX09QRVIoTFRNUywwKQ==&amp;WINDOW=FIRST_POPUP&amp;HEIGHT=450&amp;WIDTH=450&amp;START_MAXIMI","ZED=FALSE&amp;VAR:CALENDAR=US&amp;VAR:SYMBOL=ERTS&amp;VAR:INDEX=0"}</definedName>
    <definedName name="_42__123Graph_E移動平均値_3" hidden="1">#REF!</definedName>
    <definedName name="_42__FDSAUDITLINK__" hidden="1">{"fdsup://directions/FAT Viewer?action=UPDATE&amp;creator=factset&amp;DYN_ARGS=TRUE&amp;DOC_NAME=FAT:FQL_AUDITING_CLIENT_TEMPLATE.FAT&amp;display_string=Audit&amp;VAR:KEY=JYTUDQVOXI&amp;VAR:QUERY=RkZfRUJJVERBX09QRVIoTFRNUywwKQ==&amp;WINDOW=FIRST_POPUP&amp;HEIGHT=450&amp;WIDTH=450&amp;START_MAXIMI","ZED=FALSE&amp;VAR:CALENDAR=US&amp;VAR:SYMBOL=TTWO&amp;VAR:INDEX=0"}</definedName>
    <definedName name="_43__123Graph_X移動平均値_2" hidden="1">#REF!</definedName>
    <definedName name="_43__FDSAUDITLINK__" hidden="1">{"fdsup://directions/FAT Viewer?action=UPDATE&amp;creator=factset&amp;DYN_ARGS=TRUE&amp;DOC_NAME=FAT:FQL_AUDITING_CLIENT_TEMPLATE.FAT&amp;display_string=Audit&amp;VAR:KEY=JYTUDQVOXI&amp;VAR:QUERY=RkZfRUJJVERBX09QRVIoTFRNUywwKQ==&amp;WINDOW=FIRST_POPUP&amp;HEIGHT=450&amp;WIDTH=450&amp;START_MAXIMI","ZED=FALSE&amp;VAR:CALENDAR=US&amp;VAR:SYMBOL=TTWO&amp;VAR:INDEX=0"}</definedName>
    <definedName name="_44__123Graph_X移動平均値_3" hidden="1">#REF!</definedName>
    <definedName name="_44__FDSAUDITLINK__" hidden="1">{"fdsup://directions/FAT Viewer?action=UPDATE&amp;creator=factset&amp;DYN_ARGS=TRUE&amp;DOC_NAME=FAT:FQL_AUDITING_CLIENT_TEMPLATE.FAT&amp;display_string=Audit&amp;VAR:KEY=JGVETMHSJU&amp;VAR:QUERY=RkZfRUJJVERBX09QRVIoTFRNX1NFTUksMCk=&amp;WINDOW=FIRST_POPUP&amp;HEIGHT=450&amp;WIDTH=450&amp;START_MA","XIMIZED=FALSE&amp;VAR:CALENDAR=US&amp;VAR:SYMBOL=B1L3CS&amp;VAR:INDEX=0"}</definedName>
    <definedName name="_45__123Graph_X期_件数" hidden="1">#REF!</definedName>
    <definedName name="_45__FDSAUDITLINK__" hidden="1">{"fdsup://directions/FAT Viewer?action=UPDATE&amp;creator=factset&amp;DYN_ARGS=TRUE&amp;DOC_NAME=FAT:FQL_AUDITING_CLIENT_TEMPLATE.FAT&amp;display_string=Audit&amp;VAR:KEY=JGVETMHSJU&amp;VAR:QUERY=RkZfRUJJVERBX09QRVIoTFRNX1NFTUksMCk=&amp;WINDOW=FIRST_POPUP&amp;HEIGHT=450&amp;WIDTH=450&amp;START_MA","XIMIZED=FALSE&amp;VAR:CALENDAR=US&amp;VAR:SYMBOL=B1L3CS&amp;VAR:INDEX=0"}</definedName>
    <definedName name="_46__FDSAUDITLINK__" hidden="1">{"fdsup://directions/FAT Viewer?action=UPDATE&amp;creator=factset&amp;DYN_ARGS=TRUE&amp;DOC_NAME=FAT:FQL_AUDITING_CLIENT_TEMPLATE.FAT&amp;display_string=Audit&amp;VAR:KEY=ZSNGNWJSRK&amp;VAR:QUERY=RkZfR1JPU1NfTUdOKExUTVNfU0VNSSwwKQ==&amp;WINDOW=FIRST_POPUP&amp;HEIGHT=450&amp;WIDTH=450&amp;START_MA","XIMIZED=FALSE&amp;VAR:CALENDAR=US&amp;VAR:SYMBOL=B1L3CS&amp;VAR:INDEX=0"}</definedName>
    <definedName name="_47__FDSAUDITLINK__" hidden="1">{"fdsup://directions/FAT Viewer?action=UPDATE&amp;creator=factset&amp;DYN_ARGS=TRUE&amp;DOC_NAME=FAT:FQL_AUDITING_CLIENT_TEMPLATE.FAT&amp;display_string=Audit&amp;VAR:KEY=VMDQRSZYTQ&amp;VAR:QUERY=RkZfRUJJVERBX09QRVIoTFRNUywwKQ==&amp;WINDOW=FIRST_POPUP&amp;HEIGHT=450&amp;WIDTH=450&amp;START_MAXIMI","ZED=FALSE&amp;VAR:CALENDAR=US&amp;VAR:SYMBOL=NKE&amp;VAR:INDEX=0"}</definedName>
    <definedName name="_48__FDSAUDITLINK__" hidden="1">{"fdsup://directions/FAT Viewer?action=UPDATE&amp;creator=factset&amp;DYN_ARGS=TRUE&amp;DOC_NAME=FAT:FQL_AUDITING_CLIENT_TEMPLATE.FAT&amp;display_string=Audit&amp;VAR:KEY=VMDQRSZYTQ&amp;VAR:QUERY=RkZfRUJJVERBX09QRVIoTFRNUywwKQ==&amp;WINDOW=FIRST_POPUP&amp;HEIGHT=450&amp;WIDTH=450&amp;START_MAXIMI","ZED=FALSE&amp;VAR:CALENDAR=US&amp;VAR:SYMBOL=NKE&amp;VAR:INDEX=0"}</definedName>
    <definedName name="_49__123Graph_XIRR_IRR" hidden="1">#REF!</definedName>
    <definedName name="_49__FDSAUDITLINK__" hidden="1">{"fdsup://directions/FAT Viewer?action=UPDATE&amp;creator=factset&amp;DYN_ARGS=TRUE&amp;DOC_NAME=FAT:FQL_AUDITING_CLIENT_TEMPLATE.FAT&amp;display_string=Audit&amp;VAR:KEY=ZQVCPSLIHG&amp;VAR:QUERY=RkZfR1JPU1NfTUdOKExUTVMsTk9XKQ==&amp;WINDOW=FIRST_POPUP&amp;HEIGHT=450&amp;WIDTH=450&amp;START_MAXIMI","ZED=FALSE&amp;VAR:CALENDAR=US&amp;VAR:SYMBOL=NKE&amp;VAR:INDEX=0"}</definedName>
    <definedName name="_4f09_" hidden="1">{#N/A,#N/A,FALSE,"OperatingAssumptions"}</definedName>
    <definedName name="_5____123Graph_C移動平均値_2" hidden="1">#REF!</definedName>
    <definedName name="_5__123Graph_BMOF_NB" hidden="1">#REF!</definedName>
    <definedName name="_5__123Graph_XIRR_IRR" hidden="1">#REF!</definedName>
    <definedName name="_5__FDSAUDITLINK__" hidden="1">{"fdsup://directions/FAT Viewer?action=UPDATE&amp;creator=factset&amp;DYN_ARGS=TRUE&amp;DOC_NAME=FAT:FQL_AUDITING_CLIENT_TEMPLATE.FAT&amp;display_string=Audit&amp;VAR:KEY=UJEXYLQZGP&amp;VAR:QUERY=RkZfRU5UUlBSX1ZBTF9EQUlMWSgzOTQ0MCwsLCwsJ0RJTCcp&amp;WINDOW=FIRST_POPUP&amp;HEIGHT=450&amp;WIDTH=","450&amp;START_MAXIMIZED=FALSE&amp;VAR:CALENDAR=US&amp;VAR:SYMBOL=URS&amp;VAR:INDEX=0"}</definedName>
    <definedName name="_50__FDSAUDITLINK__" hidden="1">{"fdsup://directions/FAT Viewer?action=UPDATE&amp;creator=factset&amp;DYN_ARGS=TRUE&amp;DOC_NAME=FAT:FQL_AUDITING_CLIENT_TEMPLATE.FAT&amp;display_string=Audit&amp;VAR:KEY=NGPGDYZUPE&amp;VAR:QUERY=RkZfRUJJVERBX09QRVIoTFRNUywwKQ==&amp;WINDOW=FIRST_POPUP&amp;HEIGHT=450&amp;WIDTH=450&amp;START_MAXIMI","ZED=FALSE&amp;VAR:CALENDAR=US&amp;VAR:SYMBOL=ELY&amp;VAR:INDEX=0"}</definedName>
    <definedName name="_51__FDSAUDITLINK__" hidden="1">{"fdsup://directions/FAT Viewer?action=UPDATE&amp;creator=factset&amp;DYN_ARGS=TRUE&amp;DOC_NAME=FAT:FQL_AUDITING_CLIENT_TEMPLATE.FAT&amp;display_string=Audit&amp;VAR:KEY=NGPGDYZUPE&amp;VAR:QUERY=RkZfRUJJVERBX09QRVIoTFRNUywwKQ==&amp;WINDOW=FIRST_POPUP&amp;HEIGHT=450&amp;WIDTH=450&amp;START_MAXIMI","ZED=FALSE&amp;VAR:CALENDAR=US&amp;VAR:SYMBOL=ELY&amp;VAR:INDEX=0"}</definedName>
    <definedName name="_52__FDSAUDITLINK__" hidden="1">{"fdsup://directions/FAT Viewer?action=UPDATE&amp;creator=factset&amp;DYN_ARGS=TRUE&amp;DOC_NAME=FAT:FQL_AUDITING_CLIENT_TEMPLATE.FAT&amp;display_string=Audit&amp;VAR:KEY=NUBWLCTQVC&amp;VAR:QUERY=RkZfR1JPU1NfTUdOKExUTVMsTk9XKQ==&amp;WINDOW=FIRST_POPUP&amp;HEIGHT=450&amp;WIDTH=450&amp;START_MAXIMI","ZED=FALSE&amp;VAR:CALENDAR=US&amp;VAR:SYMBOL=ELY&amp;VAR:INDEX=0"}</definedName>
    <definedName name="_53__FDSAUDITLINK__" hidden="1">{"fdsup://directions/FAT Viewer?action=UPDATE&amp;creator=factset&amp;DYN_ARGS=TRUE&amp;DOC_NAME=FAT:FQL_AUDITING_CLIENT_TEMPLATE.FAT&amp;display_string=Audit&amp;VAR:KEY=PEJCHAJAVS&amp;VAR:QUERY=RkZfR1JPU1NfTUdOKExUTVMsTk9XKQ==&amp;WINDOW=FIRST_POPUP&amp;HEIGHT=450&amp;WIDTH=450&amp;START_MAXIMI","ZED=FALSE&amp;VAR:CALENDAR=US&amp;VAR:SYMBOL=FO&amp;VAR:INDEX=0"}</definedName>
    <definedName name="_54__FDSAUDITLINK__" hidden="1">{"fdsup://directions/FAT Viewer?action=UPDATE&amp;creator=factset&amp;DYN_ARGS=TRUE&amp;DOC_NAME=FAT:FQL_AUDITING_CLIENT_TEMPLATE.FAT&amp;display_string=Audit&amp;VAR:KEY=BUBSNULSHQ&amp;VAR:QUERY=RkZfR1JPU1NfTUdOKExUTVMsTk9XKQ==&amp;WINDOW=FIRST_POPUP&amp;HEIGHT=450&amp;WIDTH=450&amp;START_MAXIMI","ZED=FALSE&amp;VAR:CALENDAR=US&amp;VAR:SYMBOL=JAH&amp;VAR:INDEX=0"}</definedName>
    <definedName name="_55__FDSAUDITLINK__" hidden="1">{"fdsup://directions/FAT Viewer?action=UPDATE&amp;creator=factset&amp;DYN_ARGS=TRUE&amp;DOC_NAME=FAT:FQL_AUDITING_CLIENT_TEMPLATE.FAT&amp;display_string=Audit&amp;VAR:KEY=ZWXKPQNGFI&amp;VAR:QUERY=RkZfRUJJVERBX09QRVIoTFRNUywwKQ==&amp;WINDOW=FIRST_POPUP&amp;HEIGHT=450&amp;WIDTH=450&amp;START_MAXIMI","ZED=FALSE&amp;VAR:CALENDAR=US&amp;VAR:SYMBOL=403197&amp;VAR:INDEX=0"}</definedName>
    <definedName name="_56__FDSAUDITLINK__" hidden="1">{"fdsup://directions/FAT Viewer?action=UPDATE&amp;creator=factset&amp;DYN_ARGS=TRUE&amp;DOC_NAME=FAT:FQL_AUDITING_CLIENT_TEMPLATE.FAT&amp;display_string=Audit&amp;VAR:KEY=ZWXKPQNGFI&amp;VAR:QUERY=RkZfRUJJVERBX09QRVIoTFRNUywwKQ==&amp;WINDOW=FIRST_POPUP&amp;HEIGHT=450&amp;WIDTH=450&amp;START_MAXIMI","ZED=FALSE&amp;VAR:CALENDAR=US&amp;VAR:SYMBOL=403197&amp;VAR:INDEX=0"}</definedName>
    <definedName name="_57__FDSAUDITLINK__" hidden="1">{"fdsup://directions/FAT Viewer?action=UPDATE&amp;creator=factset&amp;DYN_ARGS=TRUE&amp;DOC_NAME=FAT:FQL_AUDITING_CLIENT_TEMPLATE.FAT&amp;display_string=Audit&amp;VAR:KEY=JGROTEXMNM&amp;VAR:QUERY=RkZfRUJJVERBX09QRVIoTFRNUywwKQ==&amp;WINDOW=FIRST_POPUP&amp;HEIGHT=450&amp;WIDTH=450&amp;START_MAXIMI","ZED=FALSE&amp;VAR:CALENDAR=US&amp;VAR:SYMBOL=402400&amp;VAR:INDEX=0"}</definedName>
    <definedName name="_58__FDSAUDITLINK__" hidden="1">{"fdsup://directions/FAT Viewer?action=UPDATE&amp;creator=factset&amp;DYN_ARGS=TRUE&amp;DOC_NAME=FAT:FQL_AUDITING_CLIENT_TEMPLATE.FAT&amp;display_string=Audit&amp;VAR:KEY=JGROTEXMNM&amp;VAR:QUERY=RkZfRUJJVERBX09QRVIoTFRNUywwKQ==&amp;WINDOW=FIRST_POPUP&amp;HEIGHT=450&amp;WIDTH=450&amp;START_MAXIMI","ZED=FALSE&amp;VAR:CALENDAR=US&amp;VAR:SYMBOL=402400&amp;VAR:INDEX=0"}</definedName>
    <definedName name="_59__FDSAUDITLINK__" hidden="1">{"fdsup://directions/FAT Viewer?action=UPDATE&amp;creator=factset&amp;DYN_ARGS=TRUE&amp;DOC_NAME=FAT:FQL_AUDITING_CLIENT_TEMPLATE.FAT&amp;display_string=Audit&amp;VAR:KEY=BMPYZUZYLY&amp;VAR:QUERY=RkZfRUJJVERBX09QRVIoTFRNUywwKQ==&amp;WINDOW=FIRST_POPUP&amp;HEIGHT=450&amp;WIDTH=450&amp;START_MAXIMI","ZED=FALSE&amp;VAR:CALENDAR=US&amp;VAR:SYMBOL=226236&amp;VAR:INDEX=0"}</definedName>
    <definedName name="_6____123Graph_C移動平均値_3" hidden="1">#REF!</definedName>
    <definedName name="_6__123Graph_XIRR_IRR" hidden="1">#REF!</definedName>
    <definedName name="_6__123Graph_XMOF_NB" hidden="1">#REF!</definedName>
    <definedName name="_6__FDSAUDITLINK__" hidden="1">{"fdsup://directions/FAT Viewer?action=UPDATE&amp;creator=factset&amp;DYN_ARGS=TRUE&amp;DOC_NAME=FAT:FQL_AUDITING_CLIENT_TEMPLATE.FAT&amp;display_string=Audit&amp;VAR:KEY=UVIVEPEBCJ&amp;VAR:QUERY=RkZfRU5UUlBSX1ZBTF9EQUlMWSgzOTQzMywsLCwsJ0RJTCcp&amp;WINDOW=FIRST_POPUP&amp;HEIGHT=450&amp;WIDTH=","450&amp;START_MAXIMIZED=FALSE&amp;VAR:CALENDAR=US&amp;VAR:SYMBOL=URS&amp;VAR:INDEX=0"}</definedName>
    <definedName name="_60__FDSAUDITLINK__" hidden="1">{"fdsup://directions/FAT Viewer?action=UPDATE&amp;creator=factset&amp;DYN_ARGS=TRUE&amp;DOC_NAME=FAT:FQL_AUDITING_CLIENT_TEMPLATE.FAT&amp;display_string=Audit&amp;VAR:KEY=BMPYZUZYLY&amp;VAR:QUERY=RkZfRUJJVERBX09QRVIoTFRNUywwKQ==&amp;WINDOW=FIRST_POPUP&amp;HEIGHT=450&amp;WIDTH=450&amp;START_MAXIMI","ZED=FALSE&amp;VAR:CALENDAR=US&amp;VAR:SYMBOL=226236&amp;VAR:INDEX=0"}</definedName>
    <definedName name="_61__123Graph_XMOF_NB" hidden="1">#REF!</definedName>
    <definedName name="_6s12_" hidden="1">{#N/A,#N/A,FALSE,"LoanAssumptions"}</definedName>
    <definedName name="_7____123Graph_C期_件数" hidden="1">#REF!</definedName>
    <definedName name="_7__123Graph_XMOF_NB" hidden="1">#REF!</definedName>
    <definedName name="_7__FDSAUDITLINK__" hidden="1">{"fdsup://directions/FAT Viewer?action=UPDATE&amp;creator=factset&amp;DYN_ARGS=TRUE&amp;DOC_NAME=FAT:FQL_AUDITING_CLIENT_TEMPLATE.FAT&amp;display_string=Audit&amp;VAR:KEY=ENYVGHKZMX&amp;VAR:QUERY=RkZfRU5UUlBSX1ZBTF9EQUlMWSgzOTQyNiwsLCwsJ0RJTCcp&amp;WINDOW=FIRST_POPUP&amp;HEIGHT=450&amp;WIDTH=","450&amp;START_MAXIMIZED=FALSE&amp;VAR:CALENDAR=US&amp;VAR:SYMBOL=URS&amp;VAR:INDEX=0"}</definedName>
    <definedName name="_73f09_" hidden="1">{#N/A,#N/A,FALSE,"OperatingAssumptions"}</definedName>
    <definedName name="_7f09_" hidden="1">{#N/A,#N/A,FALSE,"OperatingAssumptions"}</definedName>
    <definedName name="_8____123Graph_D移動平均値_2" hidden="1">#REF!</definedName>
    <definedName name="_8__FDSAUDITLINK__" hidden="1">{"fdsup://directions/FAT Viewer?action=UPDATE&amp;creator=factset&amp;DYN_ARGS=TRUE&amp;DOC_NAME=FAT:FQL_AUDITING_CLIENT_TEMPLATE.FAT&amp;display_string=Audit&amp;VAR:KEY=KBIPEBCXYZ&amp;VAR:QUERY=RkZfRU5UUlBSX1ZBTF9EQUlMWSgzOTQxOSwsLCwsJ0RJTCcp&amp;WINDOW=FIRST_POPUP&amp;HEIGHT=450&amp;WIDTH=","450&amp;START_MAXIMIZED=FALSE&amp;VAR:CALENDAR=US&amp;VAR:SYMBOL=URS&amp;VAR:INDEX=0"}</definedName>
    <definedName name="_85s12_" hidden="1">{#N/A,#N/A,FALSE,"LoanAssumptions"}</definedName>
    <definedName name="_8s12_" hidden="1">{#N/A,#N/A,FALSE,"LoanAssumptions"}</definedName>
    <definedName name="_9____123Graph_D移動平均値_3" hidden="1">#REF!</definedName>
    <definedName name="_9__FDSAUDITLINK__" hidden="1">{"fdsup://directions/FAT Viewer?action=UPDATE&amp;creator=factset&amp;DYN_ARGS=TRUE&amp;DOC_NAME=FAT:FQL_AUDITING_CLIENT_TEMPLATE.FAT&amp;display_string=Audit&amp;VAR:KEY=EFQNEZMNQN&amp;VAR:QUERY=RkZfRU5UUlBSX1ZBTF9EQUlMWSgzOTQxMiwsLCwsJ0RJTCcp&amp;WINDOW=FIRST_POPUP&amp;HEIGHT=450&amp;WIDTH=","450&amp;START_MAXIMIZED=FALSE&amp;VAR:CALENDAR=US&amp;VAR:SYMBOL=URS&amp;VAR:INDEX=0"}</definedName>
    <definedName name="_9f09_" hidden="1">{#N/A,#N/A,FALSE,"OperatingAssumptions"}</definedName>
    <definedName name="_a1" hidden="1">{"'Sheet1'!$B$67:$AH$72","'Sheet1'!$B$74:$AH$79","'Sheet1'!$B$81:$AH$86"}</definedName>
    <definedName name="_aaa" hidden="1">#N/A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sd" hidden="1">#N/A</definedName>
    <definedName name="_atmat" hidden="1">2</definedName>
    <definedName name="_atmaturity" hidden="1">2</definedName>
    <definedName name="_bdm.0270CF15F1304969964624E527CD167B.edm" hidden="1">#N/A</definedName>
    <definedName name="_bdm.0E6E64EF5D06483094F41B1B61996CF0.edm" hidden="1">#N/A</definedName>
    <definedName name="_bdm.3AA91B20D52A413A96412BF7EEDC8127.edm" hidden="1">#N/A</definedName>
    <definedName name="_bdm.5AA38D175F1E4E2EB0844BB7C4260523.edm" hidden="1">#N/A</definedName>
    <definedName name="_bdm.7FD3A50FDAC94FC0A3E9A466B35AAF75.edm" hidden="1">#N/A</definedName>
    <definedName name="_bdm.8DD8A6E4161A4BA0981D3338ABCDB9B0.edm" hidden="1">#N/A</definedName>
    <definedName name="_bdm.9E849652820941F182FD6E59F497093E.edm" hidden="1">#N/A</definedName>
    <definedName name="_bdm.A456347C913F4063A0FD004BBEDF568D.edm" hidden="1">#REF!</definedName>
    <definedName name="_bdm.A765CE1EB2A6448E996EE817B199DF5E.edm" hidden="1">#N/A</definedName>
    <definedName name="_bdm.AE806E1ADB8B4C72A8571C4953260334.edm" hidden="1">#N/A</definedName>
    <definedName name="_bdm.BA4614A6986B475194C48AEC7B7F6724.edm" hidden="1">#N/A</definedName>
    <definedName name="_bdm.C7A8ED6CF4AA4085BB60A394C585A4C7.edm" hidden="1">#N/A</definedName>
    <definedName name="_bond" hidden="1">3</definedName>
    <definedName name="_ＤＡ2" hidden="1">{"Actual",#N/A,FALSE,"(価格)";"Market",#N/A,FALSE,"(価格)";"Plan",#N/A,FALSE,"(価格)"}</definedName>
    <definedName name="_default" hidden="1">-1</definedName>
    <definedName name="_dflt" hidden="1">-1</definedName>
    <definedName name="_disc" hidden="1">1</definedName>
    <definedName name="_discount" hidden="1">1</definedName>
    <definedName name="_Dist_Bin" hidden="1">#N/A</definedName>
    <definedName name="_Dist_Values" hidden="1">#REF!</definedName>
    <definedName name="_dontadjust" hidden="1">0</definedName>
    <definedName name="_e2" hidden="1">{"'Sheet1'!$B$67:$AH$72","'Sheet1'!$B$74:$AH$79","'Sheet1'!$B$81:$AH$86"}</definedName>
    <definedName name="_e360" hidden="1">3</definedName>
    <definedName name="_eom" hidden="1">1</definedName>
    <definedName name="_f09" localSheetId="6" hidden="1">{#N/A,#N/A,FALSE,"OperatingAssumptions"}</definedName>
    <definedName name="_f09" localSheetId="5" hidden="1">{#N/A,#N/A,FALSE,"OperatingAssumptions"}</definedName>
    <definedName name="_f09" hidden="1">{#N/A,#N/A,FALSE,"OperatingAssumptions"}</definedName>
    <definedName name="_Fill" localSheetId="5" hidden="1">#REF!</definedName>
    <definedName name="_Fill" hidden="1">#REF!</definedName>
    <definedName name="_FillArea" hidden="1">#REF!</definedName>
    <definedName name="_xlnm._FilterDatabase" localSheetId="6" hidden="1">#REF!</definedName>
    <definedName name="_xlnm._FilterDatabase" localSheetId="5" hidden="1">#REF!</definedName>
    <definedName name="_xlnm._FilterDatabase" hidden="1">#REF!</definedName>
    <definedName name="_FilterDatabase1" hidden="1">#REF!</definedName>
    <definedName name="_full" hidden="1">1</definedName>
    <definedName name="_fullprecision" hidden="1">1</definedName>
    <definedName name="_GSRATES_1" hidden="1">"CT300001Latest          "</definedName>
    <definedName name="_GSRATES_COUNT" hidden="1">1</definedName>
    <definedName name="_GSRATESR_1" hidden="1">#N/A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jo1" hidden="1">{#N/A,#N/A,FALSE,"Calculator"}</definedName>
    <definedName name="_Key1" localSheetId="6" hidden="1">#REF!</definedName>
    <definedName name="_Key1" localSheetId="5" hidden="1">#REF!</definedName>
    <definedName name="_Key1" hidden="1">#REF!</definedName>
    <definedName name="_Key2" localSheetId="6" hidden="1">#REF!</definedName>
    <definedName name="_Key2" localSheetId="5" hidden="1">#REF!</definedName>
    <definedName name="_Key2" hidden="1">#REF!</definedName>
    <definedName name="_Key3" hidden="1">#REF!</definedName>
    <definedName name="_monthly" hidden="1">12</definedName>
    <definedName name="_ｍｔｂ2" hidden="1">{"ｹﾝﾄ（M)",#N/A,FALSE,"収支・日割";"ｹﾝﾄ（RD)",#N/A,FALSE,"収支・日割";"ｹﾝﾄ（PMC)",#N/A,FALSE,"収支・日割"}</definedName>
    <definedName name="_mtb3" localSheetId="6" hidden="1">{#N/A,#N/A,FALSE,"１";#N/A,#N/A,FALSE,"２";#N/A,#N/A,FALSE,"３";#N/A,#N/A,FALSE,"４"}</definedName>
    <definedName name="_mtb3" hidden="1">{#N/A,#N/A,FALSE,"１";#N/A,#N/A,FALSE,"２";#N/A,#N/A,FALSE,"３";#N/A,#N/A,FALSE,"４"}</definedName>
    <definedName name="_mtb4" hidden="1">{#N/A,#N/A,FALSE,"１";#N/A,#N/A,FALSE,"２";#N/A,#N/A,FALSE,"３";#N/A,#N/A,FALSE,"４"}</definedName>
    <definedName name="_ｍｔｂ5" hidden="1">{#N/A,#N/A,FALSE,"１";#N/A,#N/A,FALSE,"２";#N/A,#N/A,FALSE,"３";#N/A,#N/A,FALSE,"４"}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pd4" localSheetId="6" hidden="1">{"AnnualRentRoll",#N/A,FALSE,"RentRoll"}</definedName>
    <definedName name="_pd4" localSheetId="5" hidden="1">{"AnnualRentRoll",#N/A,FALSE,"RentRoll"}</definedName>
    <definedName name="_pd4" hidden="1">{"AnnualRentRoll",#N/A,FALSE,"RentRoll"}</definedName>
    <definedName name="_pik" hidden="1">6</definedName>
    <definedName name="_PL7" hidden="1">{#N/A,#N/A,TRUE,"대 차 대 조 표"}</definedName>
    <definedName name="_qrt" hidden="1">4</definedName>
    <definedName name="_quarterly" hidden="1">4</definedName>
    <definedName name="_r" hidden="1">{#N/A,#N/A,FALSE,"Actual";#N/A,#N/A,FALSE,"Management Report 2";#N/A,#N/A,FALSE,"Management Report 3";#N/A,#N/A,FALSE,"Ergebnis";#N/A,#N/A,FALSE,"Summary";#N/A,#N/A,FALSE,"Konrzern";#N/A,#N/A,FALSE,"Abweichung Budget-Actuell"}</definedName>
    <definedName name="_Regression_X" hidden="1">#REF!</definedName>
    <definedName name="_round" hidden="1">0</definedName>
    <definedName name="_roundtrunc" hidden="1">0</definedName>
    <definedName name="_s12" localSheetId="6" hidden="1">{#N/A,#N/A,FALSE,"LoanAssumptions"}</definedName>
    <definedName name="_s12" localSheetId="5" hidden="1">{#N/A,#N/A,FALSE,"LoanAssumptions"}</definedName>
    <definedName name="_s12" hidden="1">{#N/A,#N/A,FALSE,"LoanAssumptions"}</definedName>
    <definedName name="_semi" hidden="1">2</definedName>
    <definedName name="_semiannual" hidden="1">2</definedName>
    <definedName name="_singlestep" hidden="1">4</definedName>
    <definedName name="_Sort" localSheetId="6" hidden="1">#REF!</definedName>
    <definedName name="_Sort" localSheetId="5" hidden="1">#REF!</definedName>
    <definedName name="_Sort" hidden="1">#REF!</definedName>
    <definedName name="_step" hidden="1">4</definedName>
    <definedName name="_Table1_In1" localSheetId="6" hidden="1">#REF!</definedName>
    <definedName name="_Table1_In1" localSheetId="5" hidden="1">#REF!</definedName>
    <definedName name="_Table1_In1" hidden="1">#REF!</definedName>
    <definedName name="_Table1_Out" localSheetId="6" hidden="1">#REF!</definedName>
    <definedName name="_Table1_Out" localSheetId="5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reasury" hidden="1">1</definedName>
    <definedName name="_vf6" localSheetId="6" hidden="1">{#N/A,#N/A,FALSE,"Summary"}</definedName>
    <definedName name="_vf6" localSheetId="5" hidden="1">{#N/A,#N/A,FALSE,"Summary"}</definedName>
    <definedName name="_vf6" hidden="1">{#N/A,#N/A,FALSE,"Summary"}</definedName>
    <definedName name="_www1" hidden="1">{#N/A,#N/A,FALSE,"Calculator"}</definedName>
    <definedName name="_www2" hidden="1">{#N/A,#N/A,FALSE,"Calculator"}</definedName>
    <definedName name="◎" localSheetId="6" hidden="1">{#N/A,#N/A,FALSE,"LoanAssumptions"}</definedName>
    <definedName name="◎" hidden="1">{#N/A,#N/A,FALSE,"LoanAssumptions"}</definedName>
    <definedName name="④RX300S2" localSheetId="6" hidden="1">{"'フローチャート'!$A$1:$AO$191"}</definedName>
    <definedName name="④RX300S2" hidden="1">{"'フローチャート'!$A$1:$AO$191"}</definedName>
    <definedName name="a" localSheetId="6" hidden="1">{"MonthlyRentRoll",#N/A,FALSE,"RentRoll"}</definedName>
    <definedName name="a" hidden="1">{"MonthlyRentRoll",#N/A,FALSE,"RentRoll"}</definedName>
    <definedName name="aaa" localSheetId="6" hidden="1">{"AnnualRentRoll",#N/A,FALSE,"RentRoll"}</definedName>
    <definedName name="aaa" localSheetId="5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6" hidden="1">{"MonthlyRentRoll",#N/A,FALSE,"RentRoll"}</definedName>
    <definedName name="aaaaa" localSheetId="5" hidden="1">{"MonthlyRentRoll",#N/A,FALSE,"RentRoll"}</definedName>
    <definedName name="aaaaa" hidden="1">{"MonthlyRentRoll",#N/A,FALSE,"RentRoll"}</definedName>
    <definedName name="aaaaaa" localSheetId="6" hidden="1">{"AnnualRentRoll",#N/A,FALSE,"RentRoll"}</definedName>
    <definedName name="aaaaaa" localSheetId="5" hidden="1">{"AnnualRentRoll",#N/A,FALSE,"RentRoll"}</definedName>
    <definedName name="aaaaaa" hidden="1">{"AnnualRentRoll",#N/A,FALSE,"RentRoll"}</definedName>
    <definedName name="aaaaaaa" hidden="1">{"賃貸事例比較法",#N/A,FALSE,"Sheet2";"賃貸条件",#N/A,FALSE,"Sheet2"}</definedName>
    <definedName name="aaaaaaaa" localSheetId="6" hidden="1">{#N/A,#N/A,FALSE,"ExitStratigy"}</definedName>
    <definedName name="aaaaaaaa" localSheetId="5" hidden="1">{#N/A,#N/A,FALSE,"ExitStratigy"}</definedName>
    <definedName name="aaaaaaaa" hidden="1">{#N/A,#N/A,FALSE,"ExitStratigy"}</definedName>
    <definedName name="aaaaaaaaa" hidden="1">#REF!</definedName>
    <definedName name="aaaaaaaaaa" hidden="1">#REF!</definedName>
    <definedName name="aaaaaaaaaaa" hidden="1">#REF!</definedName>
    <definedName name="aaaaaaaaaaaaa" hidden="1">#REF!</definedName>
    <definedName name="aaaaaaaaaaaaaa" hidden="1">#REF!</definedName>
    <definedName name="aaaaaaaaaaaaaaaa" hidden="1">#REF!</definedName>
    <definedName name="aaaaaaaaaaaaaaaaaa" hidden="1">#REF!</definedName>
    <definedName name="aaaaaaryj" localSheetId="5" hidden="1">#REF!</definedName>
    <definedName name="aaaaaaryj" hidden="1">#REF!</definedName>
    <definedName name="aaaaar" hidden="1">#REF!</definedName>
    <definedName name="aab" localSheetId="6" hidden="1">{"MonthlyRentRoll",#N/A,FALSE,"RentRoll"}</definedName>
    <definedName name="aab" localSheetId="5" hidden="1">{"MonthlyRentRoll",#N/A,FALSE,"RentRoll"}</definedName>
    <definedName name="aab" hidden="1">{"MonthlyRentRoll",#N/A,FALSE,"RentRoll"}</definedName>
    <definedName name="AAB_Addin5" hidden="1">"AAB_Description for addin 5,Description for addin 5,Description for addin 5,Description for addin 5,Description for addin 5,Description for addin 5"</definedName>
    <definedName name="ab" hidden="1">{"'Sheet1'!$B$67:$AH$72","'Sheet1'!$B$74:$AH$79","'Sheet1'!$B$81:$AH$86"}</definedName>
    <definedName name="abab" hidden="1">{#N/A,#N/A,FALSE,"ExitStratigy"}</definedName>
    <definedName name="abcd" hidden="1">{"REC1",#N/A,FALSE,"Focus";"REC2",#N/A,FALSE,"Focus";"REC3",#N/A,FALSE,"Focus";"REC4",#N/A,FALSE,"Focus"}</definedName>
    <definedName name="abrff" hidden="1">{"werbung",#N/A,FALSE,"GuV9900-0399";"betrieb",#N/A,FALSE,"GuV9900-0399";"personal",#N/A,FALSE,"GuV9900-0399";"tvg",#N/A,FALSE,"GuV9900-0399";"verwaltung",#N/A,FALSE,"GuV9900-0399"}</definedName>
    <definedName name="Access_Button" hidden="1">"ＴＰ総括表_ビルデータ_List"</definedName>
    <definedName name="AccessDatabase" hidden="1">"C:\My Documents\１コン関連\Taiho2_SK_list.mdb"</definedName>
    <definedName name="acd" localSheetId="6" hidden="1">#REF!</definedName>
    <definedName name="acd" localSheetId="5" hidden="1">#REF!</definedName>
    <definedName name="acd" hidden="1">#REF!</definedName>
    <definedName name="ACwvu.LEVEL." hidden="1">#REF!</definedName>
    <definedName name="adasd" hidden="1">{"ｹﾝﾄ（M)",#N/A,FALSE,"収支・日割";"ｹﾝﾄ（RD)",#N/A,FALSE,"収支・日割";"ｹﾝﾄ（PMC)",#N/A,FALSE,"収支・日割"}</definedName>
    <definedName name="addb" hidden="1">{#N/A,#N/A,FALSE,"CBE";#N/A,#N/A,FALSE,"SWK"}</definedName>
    <definedName name="addg" hidden="1">{#N/A,#N/A,FALSE,"CBE";#N/A,#N/A,FALSE,"SWK"}</definedName>
    <definedName name="adf" hidden="1">{"MonthlyRentRoll",#N/A,FALSE,"RentRoll"}</definedName>
    <definedName name="adff" hidden="1">{"werbung",#N/A,FALSE,"GuV9900-0399";"betrieb",#N/A,FALSE,"GuV9900-0399";"personal",#N/A,FALSE,"GuV9900-0399";"tvg",#N/A,FALSE,"GuV9900-0399";"verwaltung",#N/A,FALSE,"GuV9900-0399"}</definedName>
    <definedName name="adfgadag" hidden="1">{#N/A,#N/A,FALSE,"Calc";#N/A,#N/A,FALSE,"Sensitivity";#N/A,#N/A,FALSE,"LT Earn.Dil.";#N/A,#N/A,FALSE,"Dil. AVP"}</definedName>
    <definedName name="adfgadg" hidden="1">{"comps",#N/A,FALSE,"HANDPACK";"footnotes",#N/A,FALSE,"HANDPACK"}</definedName>
    <definedName name="adfgadga" hidden="1">{#N/A,#N/A,FALSE,"Calc";#N/A,#N/A,FALSE,"Sensitivity";#N/A,#N/A,FALSE,"LT Earn.Dil.";#N/A,#N/A,FALSE,"Dil. AVP"}</definedName>
    <definedName name="adfgadga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dag" hidden="1">{#N/A,#N/A,TRUE,"Pro Forma";#N/A,#N/A,TRUE,"PF_Bal";#N/A,#N/A,TRUE,"PF_INC";#N/A,#N/A,TRUE,"CBE";#N/A,#N/A,TRUE,"SWK"}</definedName>
    <definedName name="adfgdgdag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fg" hidden="1">{#N/A,#N/A,FALSE,"Calc";#N/A,#N/A,FALSE,"Sensitivity";#N/A,#N/A,FALSE,"LT Earn.Dil.";#N/A,#N/A,FALSE,"Dil. AVP"}</definedName>
    <definedName name="ado" hidden="1">{"'下期集計（10.27迄・速報値）'!$Q$16"}</definedName>
    <definedName name="aefaef" hidden="1">{"werbung",#N/A,FALSE,"GuV9900-0399";"betrieb",#N/A,FALSE,"GuV9900-0399";"personal",#N/A,FALSE,"GuV9900-0399";"tvg",#N/A,FALSE,"GuV9900-0399";"verwaltung",#N/A,FALSE,"GuV9900-0399"}</definedName>
    <definedName name="aer" hidden="1">{"werbung",#N/A,FALSE,"GuV9900-0399";"betrieb",#N/A,FALSE,"GuV9900-0399";"personal",#N/A,FALSE,"GuV9900-0399";"tvg",#N/A,FALSE,"GuV9900-0399";"verwaltung",#N/A,FALSE,"GuV9900-0399"}</definedName>
    <definedName name="aergea" hidden="1">{"assumption 50 50",#N/A,TRUE,"Merger";"has gets cash",#N/A,TRUE,"Merger";"accretion dilution",#N/A,TRUE,"Merger";"comparison credit stats",#N/A,TRUE,"Merger";"pf credit stats",#N/A,TRUE,"Merger";"pf sheets",#N/A,TRUE,"Merger"}</definedName>
    <definedName name="afag" hidden="1">{"werbung",#N/A,FALSE,"GuV9900-0399";"betrieb",#N/A,FALSE,"GuV9900-0399";"personal",#N/A,FALSE,"GuV9900-0399";"tvg",#N/A,FALSE,"GuV9900-0399";"verwaltung",#N/A,FALSE,"GuV9900-0399"}</definedName>
    <definedName name="afd" hidden="1">#REF!</definedName>
    <definedName name="afdadg" hidden="1">{"comp1",#N/A,FALSE,"COMPS";"footnotes",#N/A,FALSE,"COMPS"}</definedName>
    <definedName name="afdgafdga" hidden="1">{"away stand alones",#N/A,FALSE,"Target"}</definedName>
    <definedName name="afdgafg" hidden="1">{#N/A,#N/A,FALSE,"output";#N/A,#N/A,FALSE,"contrib";#N/A,#N/A,FALSE,"profile";#N/A,#N/A,FALSE,"comps"}</definedName>
    <definedName name="afga" hidden="1">{#N/A,#N/A,FALSE,"Calc";#N/A,#N/A,FALSE,"Sensitivity";#N/A,#N/A,FALSE,"LT Earn.Dil.";#N/A,#N/A,FALSE,"Dil. AVP"}</definedName>
    <definedName name="afgadfg" hidden="1">{#N/A,#N/A,FALSE,"Calc";#N/A,#N/A,FALSE,"Sensitivity";#N/A,#N/A,FALSE,"LT Earn.Dil.";#N/A,#N/A,FALSE,"Dil. AVP"}</definedName>
    <definedName name="afgafgadfgf" hidden="1">{#N/A,#N/A,FALSE,"Calc";#N/A,#N/A,FALSE,"Sensitivity";#N/A,#N/A,FALSE,"LT Earn.Dil.";#N/A,#N/A,FALSE,"Dil. AVP"}</definedName>
    <definedName name="afgeag" hidden="1">{#N/A,#N/A,FALSE,"Calc";#N/A,#N/A,FALSE,"Sensitivity";#N/A,#N/A,FALSE,"LT Earn.Dil.";#N/A,#N/A,FALSE,"Dil. AVP"}</definedName>
    <definedName name="afggf" hidden="1">{#N/A,#N/A,FALSE,"CBE";#N/A,#N/A,FALSE,"SWK"}</definedName>
    <definedName name="ag4h" hidden="1">{"werbung",#N/A,FALSE,"GuV9900-0399";"betrieb",#N/A,FALSE,"GuV9900-0399";"personal",#N/A,FALSE,"GuV9900-0399";"tvg",#N/A,FALSE,"GuV9900-0399";"verwaltung",#N/A,FALSE,"GuV9900-0399"}</definedName>
    <definedName name="aga" hidden="1">{#N/A,#N/A,FALSE,"Calc";#N/A,#N/A,FALSE,"Sensitivity";#N/A,#N/A,FALSE,"LT Earn.Dil.";#N/A,#N/A,FALSE,"Dil. AVP"}</definedName>
    <definedName name="agfgreoj" localSheetId="6" hidden="1">#REF!</definedName>
    <definedName name="agfgreoj" localSheetId="5" hidden="1">#REF!</definedName>
    <definedName name="agfgreoj" hidden="1">#REF!</definedName>
    <definedName name="ando" hidden="1">{"'下期集計（10.27迄・速報値）'!$Q$16"}</definedName>
    <definedName name="anscount" hidden="1">3</definedName>
    <definedName name="app.3.2.2" hidden="1">{#N/A,#N/A,FALSE,"동부"}</definedName>
    <definedName name="App3.2.2" hidden="1">{#N/A,#N/A,TRUE,"대 차 대 조 표"}</definedName>
    <definedName name="argag" hidden="1">{"comps",#N/A,FALSE,"comps";"notes",#N/A,FALSE,"comps"}</definedName>
    <definedName name="argdfae" hidden="1">{"werbung",#N/A,FALSE,"GuV9900-0399";"betrieb",#N/A,FALSE,"GuV9900-0399";"personal",#N/A,FALSE,"GuV9900-0399";"tvg",#N/A,FALSE,"GuV9900-0399";"verwaltung",#N/A,FALSE,"GuV9900-0399"}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NamedRange" hidden="1">2</definedName>
    <definedName name="asas" hidden="1">{"MonthlyRentRoll",#N/A,FALSE,"RentRoll"}</definedName>
    <definedName name="asda" hidden="1">{"Actual",#N/A,FALSE,"(価格)";"Market",#N/A,FALSE,"(価格)";"Plan",#N/A,FALSE,"(価格)"}</definedName>
    <definedName name="asdfef" hidden="1">{"werbung",#N/A,FALSE,"GuV9900-0399";"betrieb",#N/A,FALSE,"GuV9900-0399";"personal",#N/A,FALSE,"GuV9900-0399";"tvg",#N/A,FALSE,"GuV9900-0399";"verwaltung",#N/A,FALSE,"GuV9900-0399"}</definedName>
    <definedName name="asdfq2" hidden="1">{#N/A,#N/A,FALSE,"LoanAssumptions"}</definedName>
    <definedName name="asdnf" hidden="1">{"AnnualRentRoll",#N/A,FALSE,"RentRoll"}</definedName>
    <definedName name="attach" hidden="1">{"AnnualRentRoll",#N/A,FALSE,"RentRoll"}</definedName>
    <definedName name="attachrokko" hidden="1">{#N/A,#N/A,FALSE,"PropertyInfo"}</definedName>
    <definedName name="avdd" hidden="1">{#N/A,#N/A,FALSE,"Calc";#N/A,#N/A,FALSE,"Sensitivity";#N/A,#N/A,FALSE,"LT Earn.Dil.";#N/A,#N/A,FALSE,"Dil. AVP"}</definedName>
    <definedName name="b" localSheetId="6" hidden="1">{"MonthlyRentRoll",#N/A,FALSE,"RentRoll"}</definedName>
    <definedName name="b" localSheetId="5" hidden="1">{"MonthlyRentRoll",#N/A,FALSE,"RentRoll"}</definedName>
    <definedName name="b" hidden="1">{"MonthlyRentRoll",#N/A,FALSE,"RentRoll"}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b" localSheetId="6" hidden="1">{#N/A,#N/A,FALSE,"OperatingAssumptions"}</definedName>
    <definedName name="bb" localSheetId="5" hidden="1">{#N/A,#N/A,FALSE,"OperatingAssumptions"}</definedName>
    <definedName name="bb" hidden="1">{#N/A,#N/A,FALSE,"OperatingAssumptions"}</definedName>
    <definedName name="bbbb" hidden="1">#REF!</definedName>
    <definedName name="bbbbb" hidden="1">#REF!</definedName>
    <definedName name="bbc" hidden="1">{"'Sheet1'!$B$67:$AH$72","'Sheet1'!$B$74:$AH$79","'Sheet1'!$B$81:$AH$86"}</definedName>
    <definedName name="bcglappli" localSheetId="6" hidden="1">{#N/A,#N/A,FALSE,"Summary"}</definedName>
    <definedName name="bcglappli" localSheetId="5" hidden="1">{#N/A,#N/A,FALSE,"Summary"}</definedName>
    <definedName name="bcglappli" hidden="1">{#N/A,#N/A,FALSE,"Summary"}</definedName>
    <definedName name="Beachwood" localSheetId="6" hidden="1">{"p",#N/A,FALSE,"Sheet1";"p 2",#N/A,FALSE,"Sheet1";"p 3",#N/A,FALSE,"Sheet1"}</definedName>
    <definedName name="Beachwood" hidden="1">{"p",#N/A,FALSE,"Sheet1";"p 2",#N/A,FALSE,"Sheet1";"p 3",#N/A,FALSE,"Sheet1"}</definedName>
    <definedName name="Beachwood_1" hidden="1">{"p",#N/A,FALSE,"Sheet1";"p 2",#N/A,FALSE,"Sheet1";"p 3",#N/A,FALSE,"Sheet1"}</definedName>
    <definedName name="BLPB2" hidden="1">#N/A</definedName>
    <definedName name="BLPH1" hidden="1">#REF!</definedName>
    <definedName name="BLPH12" hidden="1">#REF!</definedName>
    <definedName name="BLPH18" hidden="1">#REF!</definedName>
    <definedName name="BLPH2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onus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BU별" hidden="1">{#N/A,#N/A,FALSE,"동부"}</definedName>
    <definedName name="bv" localSheetId="6" hidden="1">{#N/A,#N/A,FALSE,"ExitStratigy"}</definedName>
    <definedName name="bv" localSheetId="5" hidden="1">{#N/A,#N/A,FALSE,"ExitStratigy"}</definedName>
    <definedName name="bv" hidden="1">{#N/A,#N/A,FALSE,"ExitStratigy"}</definedName>
    <definedName name="Caoex" hidden="1">#REF!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c" hidden="1">#REF!</definedName>
    <definedName name="ccc" hidden="1">#REF!</definedName>
    <definedName name="cccc" hidden="1">#REF!</definedName>
    <definedName name="ceawr" hidden="1">{"werbung",#N/A,FALSE,"GuV9900-0399";"betrieb",#N/A,FALSE,"GuV9900-0399";"personal",#N/A,FALSE,"GuV9900-0399";"tvg",#N/A,FALSE,"GuV9900-0399";"verwaltung",#N/A,FALSE,"GuV9900-0399"}</definedName>
    <definedName name="Chart1_Label" hidden="1">#REF!</definedName>
    <definedName name="Chart2_Label" hidden="1">#REF!</definedName>
    <definedName name="Chart3_Label" hidden="1">#REF!</definedName>
    <definedName name="Chart4_Label" hidden="1">#REF!</definedName>
    <definedName name="Chart5_Label" hidden="1">#REF!</definedName>
    <definedName name="Chart6_Label" hidden="1">#REF!</definedName>
    <definedName name="Chart7_Label" hidden="1">#REF!</definedName>
    <definedName name="Chart8_Label" hidden="1">#REF!</definedName>
    <definedName name="check" hidden="1">#REF!</definedName>
    <definedName name="chiho" hidden="1">{"'下期集計（10.27迄・速報値）'!$Q$16"}</definedName>
    <definedName name="ＣＭ" hidden="1">#REF!</definedName>
    <definedName name="CMB" hidden="1">{"'Bat Nav'!$A$1:$J$82"}</definedName>
    <definedName name="Code" hidden="1">#REF!</definedName>
    <definedName name="COMPS" hidden="1">255</definedName>
    <definedName name="conm" localSheetId="6" hidden="1">{"AnnualRentRoll",#N/A,FALSE,"RentRoll"}</definedName>
    <definedName name="conm" localSheetId="5" hidden="1">{"AnnualRentRoll",#N/A,FALSE,"RentRoll"}</definedName>
    <definedName name="conm" hidden="1">{"AnnualRentRoll",#N/A,FALSE,"RentRoll"}</definedName>
    <definedName name="copy" localSheetId="6" hidden="1">{#N/A,#N/A,FALSE,"OperatingAssumptions"}</definedName>
    <definedName name="copy" localSheetId="5" hidden="1">{#N/A,#N/A,FALSE,"OperatingAssumptions"}</definedName>
    <definedName name="copy" hidden="1">{#N/A,#N/A,FALSE,"OperatingAssumptions"}</definedName>
    <definedName name="cover" localSheetId="6" hidden="1">#REF!</definedName>
    <definedName name="cover" localSheetId="5" hidden="1">#REF!</definedName>
    <definedName name="cover" hidden="1">#REF!</definedName>
    <definedName name="ＣＶＣＶＣ" hidden="1">{"グラフ",#N/A,FALSE,"全社実績月次推移"}</definedName>
    <definedName name="ｄ" localSheetId="5" hidden="1">#REF!,#REF!,#REF!,#REF!,#REF!,#REF!,#REF!,#REF!</definedName>
    <definedName name="ｄ" hidden="1">#REF!,#REF!,#REF!,#REF!,#REF!,#REF!,#REF!,#REF!</definedName>
    <definedName name="DA" localSheetId="6" hidden="1">{"Actual",#N/A,FALSE,"(価格)";"Market",#N/A,FALSE,"(価格)";"Plan",#N/A,FALSE,"(価格)"}</definedName>
    <definedName name="DA" hidden="1">{"Actual",#N/A,FALSE,"(価格)";"Market",#N/A,FALSE,"(価格)";"Plan",#N/A,FALSE,"(価格)"}</definedName>
    <definedName name="dafgadg" hidden="1">{"consolidated",#N/A,FALSE,"Sheet1";"cms",#N/A,FALSE,"Sheet1";"fse",#N/A,FALSE,"Sheet1"}</definedName>
    <definedName name="dafgadgf" hidden="1">{"hiden",#N/A,FALSE,"14";"hidden",#N/A,FALSE,"16";"hidden",#N/A,FALSE,"18";"hidden",#N/A,FALSE,"20"}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1" hidden="1">#REF!</definedName>
    <definedName name="data3" hidden="1">#REF!</definedName>
    <definedName name="dave" hidden="1">{#N/A,#N/A,FALSE,"Account Receivable";#N/A,#N/A,FALSE,"Prepaid Expense";#N/A,#N/A,FALSE,"Accounts Payable";#N/A,#N/A,FALSE,"Accrued Expense";#N/A,#N/A,FALSE,"Equipment on Test"}</definedName>
    <definedName name="ＤＢ設計" hidden="1">{"'Sheet1'!$B$67:$AH$72","'Sheet1'!$B$74:$AH$79","'Sheet1'!$B$81:$AH$86"}</definedName>
    <definedName name="ｄｄｄ" localSheetId="6" hidden="1">{"AnnualRentRoll",#N/A,FALSE,"RentRoll"}</definedName>
    <definedName name="ｄｄｄ" localSheetId="5" hidden="1">{"AnnualRentRoll",#N/A,FALSE,"RentRoll"}</definedName>
    <definedName name="ｄｄｄ" hidden="1">{"AnnualRentRoll",#N/A,FALSE,"RentRoll"}</definedName>
    <definedName name="ｄｄｄｄ" localSheetId="6" hidden="1">{"'フローチャート'!$A$1:$AO$191"}</definedName>
    <definedName name="ｄｄｄｄ" hidden="1">{"'フローチャート'!$A$1:$AO$191"}</definedName>
    <definedName name="de" localSheetId="5" hidden="1">#REF!,#REF!,#REF!,#REF!,#REF!,#REF!,#REF!,#REF!</definedName>
    <definedName name="de" hidden="1">#REF!,#REF!,#REF!,#REF!,#REF!,#REF!,#REF!,#REF!</definedName>
    <definedName name="Dep.Feb03" hidden="1">{#N/A,#N/A,FALSE,"Account Receivable";#N/A,#N/A,FALSE,"Prepaid Expense";#N/A,#N/A,FALSE,"Accounts Payable";#N/A,#N/A,FALSE,"Accrued Expense";#N/A,#N/A,FALSE,"Equipment on Test"}</definedName>
    <definedName name="dfd" hidden="1">{"comp1",#N/A,FALSE,"COMPS";"footnotes",#N/A,FALSE,"COMPS"}</definedName>
    <definedName name="dfdf" hidden="1">#REF!</definedName>
    <definedName name="dfg" hidden="1">{#N/A,#N/A,TRUE,"financial";#N/A,#N/A,TRUE,"plants"}</definedName>
    <definedName name="dfga" hidden="1">{#N/A,#N/A,FALSE,"output";#N/A,#N/A,FALSE,"contrib";#N/A,#N/A,FALSE,"profile";#N/A,#N/A,FALSE,"comps"}</definedName>
    <definedName name="dfgadg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dagfd" hidden="1">{"away stand alones",#N/A,FALSE,"Target"}</definedName>
    <definedName name="dfgdg" hidden="1">{"casespecific",#N/A,FALSE,"Assumptions"}</definedName>
    <definedName name="dfglk" hidden="1">#REF!</definedName>
    <definedName name="dfjkls" localSheetId="6" hidden="1">{"AnnualRentRoll",#N/A,FALSE,"RentRoll"}</definedName>
    <definedName name="dfjkls" localSheetId="5" hidden="1">{"AnnualRentRoll",#N/A,FALSE,"RentRoll"}</definedName>
    <definedName name="dfjkls" hidden="1">{"AnnualRentRoll",#N/A,FALSE,"RentRoll"}</definedName>
    <definedName name="dfjr" localSheetId="6" hidden="1">{#N/A,#N/A,TRUE,"Summary";"AnnualRentRoll",#N/A,TRUE,"RentRoll";#N/A,#N/A,TRUE,"ExitStratigy";#N/A,#N/A,TRUE,"OperatingAssumptions"}</definedName>
    <definedName name="dfjr" localSheetId="5" hidden="1">{#N/A,#N/A,TRUE,"Summary";"AnnualRentRoll",#N/A,TRUE,"RentRoll";#N/A,#N/A,TRUE,"ExitStratigy";#N/A,#N/A,TRUE,"OperatingAssumptions"}</definedName>
    <definedName name="dfjr" hidden="1">{#N/A,#N/A,TRUE,"Summary";"AnnualRentRoll",#N/A,TRUE,"RentRoll";#N/A,#N/A,TRUE,"ExitStratigy";#N/A,#N/A,TRUE,"OperatingAssumptions"}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sru" localSheetId="6" hidden="1">{"MonthlyRentRoll",#N/A,FALSE,"RentRoll"}</definedName>
    <definedName name="dfsru" localSheetId="5" hidden="1">{"MonthlyRentRoll",#N/A,FALSE,"RentRoll"}</definedName>
    <definedName name="dfsru" hidden="1">{"MonthlyRentRoll",#N/A,FALSE,"RentRoll"}</definedName>
    <definedName name="dg" hidden="1">{"comp1",#N/A,FALSE,"COMPS";"footnotes",#N/A,FALSE,"COMPS"}</definedName>
    <definedName name="Discount" hidden="1">#REF!</definedName>
    <definedName name="display_area_2" hidden="1">#REF!</definedName>
    <definedName name="DNFL" hidden="1">{#N/A,#N/A,FALSE,"동부"}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sd" hidden="1">{"Actual",#N/A,FALSE,"(価格)";"Market",#N/A,FALSE,"(価格)";"Plan",#N/A,FALSE,"(価格)"}</definedName>
    <definedName name="ds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lkghe" hidden="1">{#N/A,#N/A,FALSE,"PJ CF Comm";#N/A,#N/A,FALSE,"matx assump com";#N/A,#N/A,FALSE,"matx data com";#N/A,#N/A,FALSE,"matx com"}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vbi" localSheetId="6" hidden="1">#REF!</definedName>
    <definedName name="dsvbi" localSheetId="5" hidden="1">#REF!</definedName>
    <definedName name="dsvbi" hidden="1">#REF!</definedName>
    <definedName name="dsvyuage" localSheetId="6" hidden="1">#REF!</definedName>
    <definedName name="dsvyuage" localSheetId="5" hidden="1">#REF!</definedName>
    <definedName name="dsvyuage" hidden="1">#REF!</definedName>
    <definedName name="dvhauio" localSheetId="5" hidden="1">#REF!</definedName>
    <definedName name="dvhauio" hidden="1">#REF!</definedName>
    <definedName name="dzsvuia" localSheetId="5" hidden="1">#REF!</definedName>
    <definedName name="dzsvuia" hidden="1">#REF!</definedName>
    <definedName name="eaera" localSheetId="5" hidden="1">#REF!,#REF!,#REF!,#REF!,#REF!,#REF!,#REF!,#REF!</definedName>
    <definedName name="eaera" hidden="1">#REF!,#REF!,#REF!,#REF!,#REF!,#REF!,#REF!,#REF!</definedName>
    <definedName name="eaga" hidden="1">{"up stand alones",#N/A,FALSE,"Acquiror"}</definedName>
    <definedName name="edl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fa" hidden="1">{"werbung",#N/A,FALSE,"GuV9900-0399";"betrieb",#N/A,FALSE,"GuV9900-0399";"personal",#N/A,FALSE,"GuV9900-0399";"tvg",#N/A,FALSE,"GuV9900-0399";"verwaltung",#N/A,FALSE,"GuV9900-0399"}</definedName>
    <definedName name="efag" hidden="1">{"werbung",#N/A,FALSE,"GuV9900-0399";"betrieb",#N/A,FALSE,"GuV9900-0399";"personal",#N/A,FALSE,"GuV9900-0399";"tvg",#N/A,FALSE,"GuV9900-0399";"verwaltung",#N/A,FALSE,"GuV9900-0399"}</definedName>
    <definedName name="ELV" hidden="1">{"AnnualRentRoll",#N/A,FALSE,"RentRoll"}</definedName>
    <definedName name="emily" hidden="1">{#N/A,#N/A,FALSE,"Calc";#N/A,#N/A,FALSE,"Sensitivity";#N/A,#N/A,FALSE,"LT Earn.Dil.";#N/A,#N/A,FALSE,"Dil. AVP"}</definedName>
    <definedName name="er" localSheetId="6" hidden="1">{#N/A,#N/A,FALSE,"OperatingAssumptions"}</definedName>
    <definedName name="er" localSheetId="5" hidden="1">{#N/A,#N/A,FALSE,"OperatingAssumptions"}</definedName>
    <definedName name="er" hidden="1">{#N/A,#N/A,FALSE,"OperatingAssumptions"}</definedName>
    <definedName name="erf" hidden="1">{"consolidated",#N/A,FALSE,"Sheet1";"cms",#N/A,FALSE,"Sheet1";"fse",#N/A,FALSE,"Sheet1"}</definedName>
    <definedName name="erifu" localSheetId="6" hidden="1">{"AnnualRentRoll",#N/A,FALSE,"RentRoll"}</definedName>
    <definedName name="erifu" localSheetId="5" hidden="1">{"AnnualRentRoll",#N/A,FALSE,"RentRoll"}</definedName>
    <definedName name="erifu" hidden="1">{"AnnualRentRoll",#N/A,FALSE,"RentRoll"}</definedName>
    <definedName name="eriuf" localSheetId="6" hidden="1">{#N/A,#N/A,FALSE,"Summary"}</definedName>
    <definedName name="eriuf" localSheetId="5" hidden="1">{#N/A,#N/A,FALSE,"Summary"}</definedName>
    <definedName name="eriuf" hidden="1">{#N/A,#N/A,FALSE,"Summary"}</definedName>
    <definedName name="erjkfu" localSheetId="6" hidden="1">{#N/A,#N/A,FALSE,"LoanAssumptions"}</definedName>
    <definedName name="erjkfu" localSheetId="5" hidden="1">{#N/A,#N/A,FALSE,"LoanAssumptions"}</definedName>
    <definedName name="erjkfu" hidden="1">{#N/A,#N/A,FALSE,"LoanAssumptions"}</definedName>
    <definedName name="erkju" localSheetId="6" hidden="1">{#N/A,#N/A,FALSE,"LoanAssumptions"}</definedName>
    <definedName name="erkju" localSheetId="5" hidden="1">{#N/A,#N/A,FALSE,"LoanAssumptions"}</definedName>
    <definedName name="erkju" hidden="1">{#N/A,#N/A,FALSE,"LoanAssumptions"}</definedName>
    <definedName name="erlkjf" localSheetId="6" hidden="1">{"AnnualRentRoll",#N/A,FALSE,"RentRoll"}</definedName>
    <definedName name="erlkjf" localSheetId="5" hidden="1">{"AnnualRentRoll",#N/A,FALSE,"RentRoll"}</definedName>
    <definedName name="erlkjf" hidden="1">{"AnnualRentRoll",#N/A,FALSE,"RentRoll"}</definedName>
    <definedName name="erlkjuf" localSheetId="6" hidden="1">{"MonthlyRentRoll",#N/A,FALSE,"RentRoll"}</definedName>
    <definedName name="erlkjuf" localSheetId="5" hidden="1">{"MonthlyRentRoll",#N/A,FALSE,"RentRoll"}</definedName>
    <definedName name="erlkjuf" hidden="1">{"MonthlyRentRoll",#N/A,FALSE,"RentRoll"}</definedName>
    <definedName name="errr" hidden="1">{"AnnualRentRoll",#N/A,FALSE,"RentRoll"}</definedName>
    <definedName name="errrr" localSheetId="6" hidden="1">{"AnnualRentRoll",#N/A,FALSE,"RentRoll"}</definedName>
    <definedName name="errrr" localSheetId="5" hidden="1">{"AnnualRentRoll",#N/A,FALSE,"RentRoll"}</definedName>
    <definedName name="errrr" hidden="1">{"AnnualRentRoll",#N/A,FALSE,"RentRoll"}</definedName>
    <definedName name="errrrr" hidden="1">{"AnnualRentRoll",#N/A,FALSE,"RentRoll"}</definedName>
    <definedName name="errrrri" hidden="1">{"AnnualRentRoll",#N/A,FALSE,"RentRoll"}</definedName>
    <definedName name="eru" hidden="1">{"MonthlyRentRoll",#N/A,FALSE,"RentRoll"}</definedName>
    <definedName name="eruf" hidden="1">{"MonthlyRentRoll",#N/A,FALSE,"RentRoll"}</definedName>
    <definedName name="erukffffffffff" localSheetId="6" hidden="1">{"AnnualRentRoll",#N/A,FALSE,"RentRoll"}</definedName>
    <definedName name="erukffffffffff" localSheetId="5" hidden="1">{"AnnualRentRoll",#N/A,FALSE,"RentRoll"}</definedName>
    <definedName name="erukffffffffff" hidden="1">{"AnnualRentRoll",#N/A,FALSE,"RentRoll"}</definedName>
    <definedName name="erus" hidden="1">{#N/A,#N/A,TRUE,"Summary";"AnnualRentRoll",#N/A,TRUE,"RentRoll";#N/A,#N/A,TRUE,"ExitStratigy";#N/A,#N/A,TRUE,"OperatingAssumptions"}</definedName>
    <definedName name="eruvvvv" localSheetId="6" hidden="1">{"AnnualRentRoll",#N/A,FALSE,"RentRoll"}</definedName>
    <definedName name="eruvvvv" localSheetId="5" hidden="1">{"AnnualRentRoll",#N/A,FALSE,"RentRoll"}</definedName>
    <definedName name="eruvvvv" hidden="1">{"AnnualRentRoll",#N/A,FALSE,"RentRoll"}</definedName>
    <definedName name="erw" hidden="1">{0,TRUE,0,0}</definedName>
    <definedName name="erwegf" hidden="1">{#N/A,#N/A,FALSE,"동부"}</definedName>
    <definedName name="eurf" hidden="1">{#N/A,#N/A,FALSE,"Summary"}</definedName>
    <definedName name="ev.Calculation" hidden="1">-4105</definedName>
    <definedName name="ev.Initialized" hidden="1">FALSE</definedName>
    <definedName name="EV__CVPARAMS__" hidden="1">"Any by Any!$C$16:$D$38;"</definedName>
    <definedName name="EV__DECIMALSYMBOL__" hidden="1">"."</definedName>
    <definedName name="EV__EXPOPTIONS__" hidden="1">0</definedName>
    <definedName name="EV__LASTREFTIME__" hidden="1">39547.635775463</definedName>
    <definedName name="EV__LOCKEDCVW__FINANCE" hidden="1">"UNITSCALC,YTD,CONSOL,TotalDataSrc,ACTUAL,INTR,NoBu,USD,SALES,2007.TOTAL,"</definedName>
    <definedName name="EV__LOCKEDCVW__RATE" hidden="1">"ACTUAL,USD,Default,Avg,xxxx.Input,PERIODIC,"</definedName>
    <definedName name="EV__LOCKSTATUS__" hidden="1">4</definedName>
    <definedName name="EV__MAXEXPCOLS__" hidden="1">100</definedName>
    <definedName name="EV__MAXEXPROWS__" hidden="1">20000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xample" hidden="1">#REF!</definedName>
    <definedName name="f" hidden="1">{"AnnualRentRoll",#N/A,FALSE,"RentRoll"}</definedName>
    <definedName name="f\ef" hidden="1">{"werbung",#N/A,FALSE,"GuV9900-0399";"betrieb",#N/A,FALSE,"GuV9900-0399";"personal",#N/A,FALSE,"GuV9900-0399";"tvg",#N/A,FALSE,"GuV9900-0399";"verwaltung",#N/A,FALSE,"GuV9900-0399"}</definedName>
    <definedName name="fa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fafa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FAX" localSheetId="6" hidden="1">{"'フローチャート'!$A$1:$AO$191"}</definedName>
    <definedName name="FAX" hidden="1">{"'フローチャート'!$A$1:$AO$191"}</definedName>
    <definedName name="FCode" hidden="1">#REF!</definedName>
    <definedName name="ＦＤ" hidden="1">#REF!</definedName>
    <definedName name="fdg" hidden="1">{"comps",#N/A,FALSE,"comps";"notes",#N/A,FALSE,"comps"}</definedName>
    <definedName name="fds" hidden="1">{"comps",#N/A,FALSE,"comps";"notes",#N/A,FALSE,"comps"}</definedName>
    <definedName name="fdsf" hidden="1">{"general",#N/A,FALSE,"Assumptions"}</definedName>
    <definedName name="fe" hidden="1">{"up stand alones",#N/A,FALSE,"Acquiror"}</definedName>
    <definedName name="fef" hidden="1">{"werbung",#N/A,FALSE,"GuV9900-0399";"betrieb",#N/A,FALSE,"GuV9900-0399";"personal",#N/A,FALSE,"GuV9900-0399";"tvg",#N/A,FALSE,"GuV9900-0399";"verwaltung",#N/A,FALSE,"GuV9900-0399"}</definedName>
    <definedName name="femsif" hidden="1">{"werbung",#N/A,FALSE,"GuV9900-0399";"betrieb",#N/A,FALSE,"GuV9900-0399";"personal",#N/A,FALSE,"GuV9900-0399";"tvg",#N/A,FALSE,"GuV9900-0399";"verwaltung",#N/A,FALSE,"GuV9900-0399"}</definedName>
    <definedName name="ferudr" localSheetId="6" hidden="1">{#N/A,#N/A,FALSE,"OperatingAssumptions"}</definedName>
    <definedName name="ferudr" localSheetId="5" hidden="1">{#N/A,#N/A,FALSE,"OperatingAssumptions"}</definedName>
    <definedName name="ferudr" hidden="1">{#N/A,#N/A,FALSE,"OperatingAssumptions"}</definedName>
    <definedName name="ferul" localSheetId="6" hidden="1">{#N/A,#N/A,FALSE,"LoanAssumptions"}</definedName>
    <definedName name="ferul" localSheetId="5" hidden="1">{#N/A,#N/A,FALSE,"LoanAssumptions"}</definedName>
    <definedName name="ferul" hidden="1">{#N/A,#N/A,FALSE,"LoanAssumptions"}</definedName>
    <definedName name="fesij" hidden="1">{"werbung",#N/A,FALSE,"GuV9900-0399";"betrieb",#N/A,FALSE,"GuV9900-0399";"personal",#N/A,FALSE,"GuV9900-0399";"tvg",#N/A,FALSE,"GuV9900-0399";"verwaltung",#N/A,FALSE,"GuV9900-0399"}</definedName>
    <definedName name="ffffff" localSheetId="5" hidden="1">#REF!,#REF!,#REF!,#REF!,#REF!,#REF!,#REF!,#REF!</definedName>
    <definedName name="ffffff" hidden="1">#REF!,#REF!,#REF!,#REF!,#REF!,#REF!,#REF!,#REF!</definedName>
    <definedName name="fgh" hidden="1">{#N/A,#N/A,FALSE,"CBE";#N/A,#N/A,FALSE,"SWK"}</definedName>
    <definedName name="fiejf" hidden="1">{"werbung",#N/A,FALSE,"GuV9900-0399";"betrieb",#N/A,FALSE,"GuV9900-0399";"personal",#N/A,FALSE,"GuV9900-0399";"tvg",#N/A,FALSE,"GuV9900-0399";"verwaltung",#N/A,FALSE,"GuV9900-0399"}</definedName>
    <definedName name="fill" hidden="1">#REF!</definedName>
    <definedName name="fjdjk" hidden="1">{#N/A,#N/A,FALSE,"Calculator"}</definedName>
    <definedName name="fjdjk1" hidden="1">{#N/A,#N/A,FALSE,"Calculator"}</definedName>
    <definedName name="fjdjk1a" hidden="1">{#N/A,#N/A,FALSE,"Calculator"}</definedName>
    <definedName name="fjdjka" hidden="1">{#N/A,#N/A,FALSE,"Calculator"}</definedName>
    <definedName name="fjdjkl" hidden="1">{#N/A,#N/A,FALSE,"Calculator"}</definedName>
    <definedName name="fjdjkla" hidden="1">{#N/A,#N/A,FALSE,"Calculator"}</definedName>
    <definedName name="frlku" hidden="1">{"AnnualRentRoll",#N/A,FALSE,"RentRoll"}</definedName>
    <definedName name="fsejfie" hidden="1">{"werbung",#N/A,FALSE,"GuV9900-0399";"betrieb",#N/A,FALSE,"GuV9900-0399";"personal",#N/A,FALSE,"GuV9900-0399";"tvg",#N/A,FALSE,"GuV9900-0399";"verwaltung",#N/A,FALSE,"GuV9900-0399"}</definedName>
    <definedName name="ｆｓｇｊ" hidden="1">#REF!</definedName>
    <definedName name="fsilje" hidden="1">{"werbung",#N/A,FALSE,"GuV9900-0399";"betrieb",#N/A,FALSE,"GuV9900-0399";"personal",#N/A,FALSE,"GuV9900-0399";"tvg",#N/A,FALSE,"GuV9900-0399";"verwaltung",#N/A,FALSE,"GuV9900-0399"}</definedName>
    <definedName name="fske" hidden="1">{"werbung",#N/A,FALSE,"GuV9900-0399";"betrieb",#N/A,FALSE,"GuV9900-0399";"personal",#N/A,FALSE,"GuV9900-0399";"tvg",#N/A,FALSE,"GuV9900-0399";"verwaltung",#N/A,FALSE,"GuV9900-0399"}</definedName>
    <definedName name="Fui0" hidden="1">#REF!</definedName>
    <definedName name="furu" hidden="1">{#N/A,#N/A,FALSE,"ExitStratigy"}</definedName>
    <definedName name="g" hidden="1">{"general",#N/A,FALSE,"Assumptions"}</definedName>
    <definedName name="gb" hidden="1">{"equity comps",#N/A,FALSE,"CS Comps";"equity comps",#N/A,FALSE,"PS Comps";"equity comps",#N/A,FALSE,"GIC_Comps";"equity comps",#N/A,FALSE,"GIC2_Comps"}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ergk" hidden="1">{#N/A,#N/A,FALSE,"PJ CF Comm";#N/A,#N/A,FALSE,"matx assump com";#N/A,#N/A,FALSE,"matx data com";#N/A,#N/A,FALSE,"matx com"}</definedName>
    <definedName name="gerh" hidden="1">{#N/A,#N/A,FALSE,"PJ CF Comm";#N/A,#N/A,FALSE,"matx assump com";#N/A,#N/A,FALSE,"matx data com";#N/A,#N/A,FALSE,"matx com"}</definedName>
    <definedName name="gfh" hidden="1">{"up stand alones",#N/A,FALSE,"Acquiror"}</definedName>
    <definedName name="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ＧＧＧ" hidden="1">#REF!</definedName>
    <definedName name="gggs" localSheetId="6" hidden="1">{#N/A,#N/A,FALSE,"LoanAssumptions"}</definedName>
    <definedName name="gggs" localSheetId="5" hidden="1">{#N/A,#N/A,FALSE,"LoanAssumptions"}</definedName>
    <definedName name="gggs" hidden="1">{#N/A,#N/A,FALSE,"LoanAssumptions"}</definedName>
    <definedName name="ghfd" hidden="1">#REF!</definedName>
    <definedName name="ghj" hidden="1">{"general",#N/A,FALSE,"Assumptions"}</definedName>
    <definedName name="grae" hidden="1">{0,0,0,0}</definedName>
    <definedName name="graefd" hidden="1">{"werbung",#N/A,FALSE,"GuV9900-0399";"betrieb",#N/A,FALSE,"GuV9900-0399";"personal",#N/A,FALSE,"GuV9900-0399";"tvg",#N/A,FALSE,"GuV9900-0399";"verwaltung",#N/A,FALSE,"GuV9900-0399"}</definedName>
    <definedName name="gs" localSheetId="6" hidden="1">{#N/A,#N/A,FALSE,"ExitStratigy"}</definedName>
    <definedName name="gs" localSheetId="5" hidden="1">{#N/A,#N/A,FALSE,"ExitStratigy"}</definedName>
    <definedName name="gs" hidden="1">{#N/A,#N/A,FALSE,"ExitStratigy"}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te" localSheetId="6" hidden="1">{#N/A,#N/A,FALSE,"LoanAssumptions"}</definedName>
    <definedName name="hate" localSheetId="5" hidden="1">{#N/A,#N/A,FALSE,"LoanAssumptions"}</definedName>
    <definedName name="hate" hidden="1">{#N/A,#N/A,FALSE,"LoanAssumptions"}</definedName>
    <definedName name="hfpshfpdhfospafhspdafhpsidfhsoiahaspif" hidden="1">{#N/A,#N/A,FALSE,"PJ CF Comm";#N/A,#N/A,FALSE,"matx assump com";#N/A,#N/A,FALSE,"matx data com";#N/A,#N/A,FALSE,"matx com"}</definedName>
    <definedName name="hg" hidden="1">{"comp1",#N/A,FALSE,"COMPS";"footnotes",#N/A,FALSE,"COMPS"}</definedName>
    <definedName name="hgkdj" localSheetId="6" hidden="1">{"AnnualRentRoll",#N/A,FALSE,"RentRoll"}</definedName>
    <definedName name="hgkdj" hidden="1">{"AnnualRentRoll",#N/A,FALSE,"RentRoll"}</definedName>
    <definedName name="hgkdj_1" hidden="1">{"AnnualRentRoll",#N/A,FALSE,"RentRoll"}</definedName>
    <definedName name="ｈｈ" hidden="1">{"賃貸事例比較法",#N/A,FALSE,"Sheet2";"賃貸条件",#N/A,FALSE,"Sheet2"}</definedName>
    <definedName name="hhh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ｈｈｈｈ" hidden="1">#REF!</definedName>
    <definedName name="hhhsdf" hidden="1">{"up stand alones",#N/A,FALSE,"Acquiror"}</definedName>
    <definedName name="HiddenRows" hidden="1">#REF!</definedName>
    <definedName name="hjdd" hidden="1">{#N/A,#N/A,FALSE,"PropertyInfo"}</definedName>
    <definedName name="hjdg" localSheetId="6" hidden="1">{#N/A,#N/A,FALSE,"PropertyInfo"}</definedName>
    <definedName name="hjdg" hidden="1">{#N/A,#N/A,FALSE,"PropertyInfo"}</definedName>
    <definedName name="hjdg_1" hidden="1">{#N/A,#N/A,FALSE,"PropertyInfo"}</definedName>
    <definedName name="hjg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jjjjjjgh" hidden="1">{"trans assumptions",#N/A,FALSE,"Merger";"trans accretion",#N/A,FALSE,"Merger"}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r" localSheetId="6" hidden="1">{"MonthlyRentRoll",#N/A,FALSE,"RentRoll"}</definedName>
    <definedName name="hr" localSheetId="5" hidden="1">{"MonthlyRentRoll",#N/A,FALSE,"RentRoll"}</definedName>
    <definedName name="hr" hidden="1">{"MonthlyRentRoll",#N/A,FALSE,"RentRoll"}</definedName>
    <definedName name="HTM_Control" hidden="1">{"'下期集計（10.27迄・速報値）'!$Q$16"}</definedName>
    <definedName name="HTML_Cntl" localSheetId="6" hidden="1">{"'フローチャート'!$A$1:$AO$191"}</definedName>
    <definedName name="HTML_Cntl" hidden="1">{"'フローチャート'!$A$1:$AO$191"}</definedName>
    <definedName name="HTML_CodePage" hidden="1">1252</definedName>
    <definedName name="HTML_Control" localSheetId="6" hidden="1">{"'TAX96-97'!$A$199:$M$263"}</definedName>
    <definedName name="HTML_Control" localSheetId="5" hidden="1">{"'TAX96-97'!$A$199:$M$263"}</definedName>
    <definedName name="HTML_Control" hidden="1">{"'TAX96-97'!$A$199:$M$263"}</definedName>
    <definedName name="HTML_Control1" localSheetId="6" hidden="1">{"'フローチャート'!$A$1:$AO$191"}</definedName>
    <definedName name="HTML_Control1" hidden="1">{"'フローチャート'!$A$1:$AO$191"}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FALSE</definedName>
    <definedName name="HTML_OBDlg4" hidden="1">TRUE</definedName>
    <definedName name="HTML_OS" hidden="1">0</definedName>
    <definedName name="HTML_PathFile" hidden="1">"S:\HOMEPAGE\STATS\Ceng973.htm"</definedName>
    <definedName name="HTML_PathTemplate" hidden="1">"http://newintra-hp/qqjbbd/METI_HP/data/ritti_todogai_5_1502.html"</definedName>
    <definedName name="HTML_Title" hidden="1">""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hyousi" hidden="1">#REF!</definedName>
    <definedName name="info" hidden="1">{#N/A,#N/A,FALSE,"LoanAssumptions"}</definedName>
    <definedName name="Initiale" hidden="1">#REF!</definedName>
    <definedName name="IntroPrintArea" hidden="1">#REF!</definedName>
    <definedName name="ＩＰアドレス一覧" localSheetId="6" hidden="1">{"'フローチャート'!$A$1:$AO$191"}</definedName>
    <definedName name="ＩＰアドレス一覧" hidden="1">{"'フローチャート'!$A$1:$AO$191"}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FFO_REUT" hidden="1">"c3843"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FFO_DIFF_REUT" hidden="1">"c3890"</definedName>
    <definedName name="IQ_EST_FFO_SURPRISE_PERCENT_REUT" hidden="1">"c3891"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40812.6235532407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39036.4994560185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sColHidden" hidden="1">FALSE</definedName>
    <definedName name="IsLTMColHidden" hidden="1">FALSE</definedName>
    <definedName name="j" localSheetId="6" hidden="1">{#N/A,#N/A,FALSE,"Summary"}</definedName>
    <definedName name="j" localSheetId="5" hidden="1">{#N/A,#N/A,FALSE,"Summary"}</definedName>
    <definedName name="j" hidden="1">{#N/A,#N/A,FALSE,"Summary"}</definedName>
    <definedName name="jd" localSheetId="6" hidden="1">{#N/A,#N/A,FALSE,"LoanAssumptions"}</definedName>
    <definedName name="jd" hidden="1">{#N/A,#N/A,FALSE,"LoanAssumptions"}</definedName>
    <definedName name="jd_1" hidden="1">{#N/A,#N/A,FALSE,"LoanAssumptions"}</definedName>
    <definedName name="ＪＨＲ" localSheetId="6" hidden="1">{#N/A,#N/A,TRUE,"Summary";"AnnualRentRoll",#N/A,TRUE,"RentRoll";#N/A,#N/A,TRUE,"ExitStratigy";#N/A,#N/A,TRUE,"OperatingAssumptions"}</definedName>
    <definedName name="ＪＨＲ" localSheetId="5" hidden="1">{#N/A,#N/A,TRUE,"Summary";"AnnualRentRoll",#N/A,TRUE,"RentRoll";#N/A,#N/A,TRUE,"ExitStratigy";#N/A,#N/A,TRUE,"OperatingAssumptions"}</definedName>
    <definedName name="ＪＨＲ" hidden="1">{#N/A,#N/A,TRUE,"Summary";"AnnualRentRoll",#N/A,TRUE,"RentRoll";#N/A,#N/A,TRUE,"ExitStratigy";#N/A,#N/A,TRUE,"OperatingAssumptions"}</definedName>
    <definedName name="jjojs" localSheetId="5" hidden="1">#REF!,#REF!,#REF!,#REF!,#REF!,#REF!,#REF!,#REF!</definedName>
    <definedName name="jjojs" hidden="1">#REF!,#REF!,#REF!,#REF!,#REF!,#REF!,#REF!,#REF!</definedName>
    <definedName name="jkgjh" hidden="1">{"consolidated",#N/A,FALSE,"Sheet1";"cms",#N/A,FALSE,"Sheet1";"fse",#N/A,FALSE,"Sheet1"}</definedName>
    <definedName name="jo" hidden="1">{#N/A,#N/A,FALSE,"Calculator"}</definedName>
    <definedName name="jo1a" hidden="1">{#N/A,#N/A,FALSE,"Calculator"}</definedName>
    <definedName name="joa" hidden="1">{#N/A,#N/A,FALSE,"Calculator"}</definedName>
    <definedName name="jop" hidden="1">{#N/A,#N/A,FALSE,"Calculator"}</definedName>
    <definedName name="jopa" hidden="1">{#N/A,#N/A,FALSE,"Calculator"}</definedName>
    <definedName name="jt" hidden="1">#REF!</definedName>
    <definedName name="jwebnrf" hidden="1">{"werbung",#N/A,FALSE,"GuV9900-0399";"betrieb",#N/A,FALSE,"GuV9900-0399";"personal",#N/A,FALSE,"GuV9900-0399";"tvg",#N/A,FALSE,"GuV9900-0399";"verwaltung",#N/A,FALSE,"GuV9900-0399"}</definedName>
    <definedName name="k" localSheetId="6" hidden="1">{"Parameter Review Report",#N/A,FALSE,"C"}</definedName>
    <definedName name="k" hidden="1">{"Parameter Review Report",#N/A,FALSE,"C"}</definedName>
    <definedName name="kaiwkeisldi" hidden="1">{#N/A,#N/A,FALSE,"OperatingAssumptions"}</definedName>
    <definedName name="Kim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kjgoguofuyfuvjgjgjjfi" hidden="1">{#N/A,#N/A,FALSE,"PJ CF Comm";#N/A,#N/A,FALSE,"matx assump com";#N/A,#N/A,FALSE,"matx data com";#N/A,#N/A,FALSE,"matx com"}</definedName>
    <definedName name="ｋｋｋ" localSheetId="5" hidden="1">#REF!,#REF!,#REF!,#REF!,#REF!,#REF!,#REF!,#REF!</definedName>
    <definedName name="ｋｋｋ" hidden="1">#REF!,#REF!,#REF!,#REF!,#REF!,#REF!,#REF!,#REF!</definedName>
    <definedName name="knore" localSheetId="6" hidden="1">#REF!</definedName>
    <definedName name="knore" localSheetId="5" hidden="1">#REF!</definedName>
    <definedName name="knore" hidden="1">#REF!</definedName>
    <definedName name="kobe" hidden="1">{"AnnualRentRoll",#N/A,FALSE,"RentRoll"}</definedName>
    <definedName name="kobe2" hidden="1">{#N/A,#N/A,FALSE,"LoanAssumptions"}</definedName>
    <definedName name="Konzern1" hidden="1">{#N/A,#N/A,FALSE,"Actual";#N/A,#N/A,FALSE,"Management Report 2";#N/A,#N/A,FALSE,"Management Report 3";#N/A,#N/A,FALSE,"Ergebnis";#N/A,#N/A,FALSE,"Summary";#N/A,#N/A,FALSE,"Konrzern";#N/A,#N/A,FALSE,"Abweichung Budget-Actuell"}</definedName>
    <definedName name="Kurashiki" hidden="1">#REF!</definedName>
    <definedName name="kyd.ChngCell.01." hidden="1">#REF!</definedName>
    <definedName name="kyd.CounterLimitCell.01." hidden="1">"x"</definedName>
    <definedName name="kyd.Dim.01." hidden="1">"local:Company"</definedName>
    <definedName name="kyd.ElementList.01." hidden="1">#REF!</definedName>
    <definedName name="kyd.ElementType.01." hidden="1">3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AlertCell." hidden="1">#REF!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erverCell." hidden="1">#REF!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l" localSheetId="6" hidden="1">{#N/A,#N/A,FALSE,"OperatingAssumptions"}</definedName>
    <definedName name="l" hidden="1">{#N/A,#N/A,FALSE,"OperatingAssumptions"}</definedName>
    <definedName name="Lease" hidden="1">{#N/A,#N/A,FALSE,"OperatingAssumptions"}</definedName>
    <definedName name="lhg" localSheetId="6" hidden="1">{#N/A,#N/A,FALSE,"OperatingAssumptions"}</definedName>
    <definedName name="lhg" localSheetId="5" hidden="1">{#N/A,#N/A,FALSE,"OperatingAssumptions"}</definedName>
    <definedName name="lhg" hidden="1">{#N/A,#N/A,FALSE,"OperatingAssumptions"}</definedName>
    <definedName name="lkgkjfuhgdygsywtqqq" hidden="1">{#N/A,#N/A,FALSE,"PJ CF Comm";#N/A,#N/A,FALSE,"matx assump com";#N/A,#N/A,FALSE,"matx data com";#N/A,#N/A,FALSE,"matx com"}</definedName>
    <definedName name="lkrj" localSheetId="6" hidden="1">{"AnnualRentRoll",#N/A,FALSE,"RentRoll"}</definedName>
    <definedName name="lkrj" localSheetId="5" hidden="1">{"AnnualRentRoll",#N/A,FALSE,"RentRoll"}</definedName>
    <definedName name="lkrj" hidden="1">{"AnnualRentRoll",#N/A,FALSE,"RentRoll"}</definedName>
    <definedName name="lll" hidden="1">#REF!</definedName>
    <definedName name="lo" localSheetId="6" hidden="1">{#N/A,#N/A,FALSE,"LoanAssumptions"}</definedName>
    <definedName name="lo" localSheetId="5" hidden="1">{#N/A,#N/A,FALSE,"LoanAssumptions"}</definedName>
    <definedName name="lo" hidden="1">{#N/A,#N/A,FALSE,"LoanAssumptions"}</definedName>
    <definedName name="loiuy" hidden="1">{#N/A,#N/A,FALSE,"LoanAssumptions"}</definedName>
    <definedName name="ｍ" localSheetId="6" hidden="1">#REF!,#REF!,#REF!,#REF!,#REF!,#REF!,#REF!,#REF!</definedName>
    <definedName name="ｍ" localSheetId="5" hidden="1">#REF!,#REF!,#REF!,#REF!,#REF!,#REF!,#REF!,#REF!</definedName>
    <definedName name="ｍ" hidden="1">#REF!,#REF!,#REF!,#REF!,#REF!,#REF!,#REF!,#REF!</definedName>
    <definedName name="Macro" localSheetId="6" hidden="1">{#N/A,#N/A,FALSE,"ExitStratigy"}</definedName>
    <definedName name="Macro" localSheetId="5" hidden="1">{#N/A,#N/A,FALSE,"ExitStratigy"}</definedName>
    <definedName name="Macro" hidden="1">{#N/A,#N/A,FALSE,"ExitStratigy"}</definedName>
    <definedName name="manza" hidden="1">{"AnnualRentRoll",#N/A,FALSE,"RentRoll"}</definedName>
    <definedName name="menyu" hidden="1">#REF!</definedName>
    <definedName name="mhy" localSheetId="6" hidden="1">{"AnnualRentRoll",#N/A,FALSE,"RentRoll"}</definedName>
    <definedName name="mhy" localSheetId="5" hidden="1">{"AnnualRentRoll",#N/A,FALSE,"RentRoll"}</definedName>
    <definedName name="mhy" hidden="1">{"AnnualRentRoll",#N/A,FALSE,"RentRoll"}</definedName>
    <definedName name="mki" localSheetId="6" hidden="1">{#N/A,#N/A,FALSE,"OperatingAssumptions"}</definedName>
    <definedName name="mki" localSheetId="5" hidden="1">{#N/A,#N/A,FALSE,"OperatingAssumptions"}</definedName>
    <definedName name="mki" hidden="1">{#N/A,#N/A,FALSE,"OperatingAssumptions"}</definedName>
    <definedName name="MKK" hidden="1">{"'下期集計（10.27迄・速報値）'!$Q$16"}</definedName>
    <definedName name="mm" hidden="1">{0,0,0,0;0,0,0,0;0,0,0,0}</definedName>
    <definedName name="ｍｍｍ" hidden="1">{"Actual",#N/A,FALSE,"(価格)";"Market",#N/A,FALSE,"(価格)";"Plan",#N/A,FALSE,"(価格)"}</definedName>
    <definedName name="ｍｍｎ" hidden="1">{"ｹﾝﾄ（M)",#N/A,FALSE,"収支・日割";"ｹﾝﾄ（RD)",#N/A,FALSE,"収支・日割";"ｹﾝﾄ（PMC)",#N/A,FALSE,"収支・日割"}</definedName>
    <definedName name="ｍｍｒ" hidden="1">{#N/A,#N/A,FALSE,"１";#N/A,#N/A,FALSE,"２";#N/A,#N/A,FALSE,"３";#N/A,#N/A,FALSE,"４"}</definedName>
    <definedName name="ｍｎ" hidden="1">{"グラフ",#N/A,FALSE,"全社実績月次推移"}</definedName>
    <definedName name="mtb" localSheetId="6" hidden="1">{"Actual",#N/A,FALSE,"(価格)";"Market",#N/A,FALSE,"(価格)";"Plan",#N/A,FALSE,"(価格)"}</definedName>
    <definedName name="mtb" hidden="1">{"Actual",#N/A,FALSE,"(価格)";"Market",#N/A,FALSE,"(価格)";"Plan",#N/A,FALSE,"(価格)"}</definedName>
    <definedName name="ｍｔｂ2" localSheetId="6" hidden="1">{"ｹﾝﾄ（M)",#N/A,FALSE,"収支・日割";"ｹﾝﾄ（RD)",#N/A,FALSE,"収支・日割";"ｹﾝﾄ（PMC)",#N/A,FALSE,"収支・日割"}</definedName>
    <definedName name="ｍｔｂ2" hidden="1">{"ｹﾝﾄ（M)",#N/A,FALSE,"収支・日割";"ｹﾝﾄ（RD)",#N/A,FALSE,"収支・日割";"ｹﾝﾄ（PMC)",#N/A,FALSE,"収支・日割"}</definedName>
    <definedName name="ｍｔｂ5" hidden="1">{#N/A,#N/A,FALSE,"１";#N/A,#N/A,FALSE,"２";#N/A,#N/A,FALSE,"３";#N/A,#N/A,FALSE,"４"}</definedName>
    <definedName name="ｍｔｂｖ" hidden="1">{"Actual",#N/A,FALSE,"(価格)";"Market",#N/A,FALSE,"(価格)";"Plan",#N/A,FALSE,"(価格)"}</definedName>
    <definedName name="ｍｔｂｘ" hidden="1">{"ｹﾝﾄ（M)",#N/A,FALSE,"収支・日割";"ｹﾝﾄ（RD)",#N/A,FALSE,"収支・日割";"ｹﾝﾄ（PMC)",#N/A,FALSE,"収支・日割"}</definedName>
    <definedName name="ｍん" hidden="1">{#N/A,#N/A,FALSE,"本部経費 "}</definedName>
    <definedName name="new" hidden="1">{"werbung",#N/A,FALSE,"GuV9900-0399";"betrieb",#N/A,FALSE,"GuV9900-0399";"personal",#N/A,FALSE,"GuV9900-0399";"tvg",#N/A,FALSE,"GuV9900-0399";"verwaltung",#N/A,FALSE,"GuV9900-0399"}</definedName>
    <definedName name="no" hidden="1">{#N/A,#N/A,FALSE,"PropertyInfo"}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uveau" hidden="1">{"'Bat Nav'!$A$1:$J$82"}</definedName>
    <definedName name="o" hidden="1">{#N/A,#N/A,FALSE,"CBE";#N/A,#N/A,FALSE,"SWK"}</definedName>
    <definedName name="ojghjkgoguogogiugugug" hidden="1">{#N/A,#N/A,FALSE,"PJ CF Comm";#N/A,#N/A,FALSE,"matx assump com";#N/A,#N/A,FALSE,"matx data com";#N/A,#N/A,FALSE,"matx com"}</definedName>
    <definedName name="ono" localSheetId="6" hidden="1">{"AnnualRentRoll",#N/A,FALSE,"RentRoll"}</definedName>
    <definedName name="ono" hidden="1">{"AnnualRentRoll",#N/A,FALSE,"RentRoll"}</definedName>
    <definedName name="oo" hidden="1">{"ｹﾝﾄ（M)",#N/A,FALSE,"収支・日割";"ｹﾝﾄ（RD)",#N/A,FALSE,"収支・日割";"ｹﾝﾄ（PMC)",#N/A,FALSE,"収支・日割"}</definedName>
    <definedName name="oonnoo" localSheetId="6" hidden="1">{#N/A,#N/A,FALSE,"LoanAssumptions"}</definedName>
    <definedName name="oonnoo" hidden="1">{#N/A,#N/A,FALSE,"LoanAssumptions"}</definedName>
    <definedName name="ooonnnooo" localSheetId="6" hidden="1">{"AnnualRentRoll",#N/A,FALSE,"RentRoll"}</definedName>
    <definedName name="ooonnnooo" hidden="1">{"AnnualRentRoll",#N/A,FALSE,"RentRoll"}</definedName>
    <definedName name="ooonnnoooo" localSheetId="6" hidden="1">{"page1",#N/A,FALSE,"Sheet1";"page2",#N/A,FALSE,"Sheet1"}</definedName>
    <definedName name="ooonnnoooo" hidden="1">{"page1",#N/A,FALSE,"Sheet1";"page2",#N/A,FALSE,"Sheet1"}</definedName>
    <definedName name="oooonnnnoooo" localSheetId="6" hidden="1">{#N/A,#N/A,TRUE,"Summary";"AnnualRentRoll",#N/A,TRUE,"RentRoll";#N/A,#N/A,TRUE,"ExitStratigy";#N/A,#N/A,TRUE,"OperatingAssumptions"}</definedName>
    <definedName name="oooonnnnoooo" hidden="1">{#N/A,#N/A,TRUE,"Summary";"AnnualRentRoll",#N/A,TRUE,"RentRoll";#N/A,#N/A,TRUE,"ExitStratigy";#N/A,#N/A,TRUE,"OperatingAssumptions"}</definedName>
    <definedName name="OrderTable" hidden="1">#REF!</definedName>
    <definedName name="oui" hidden="1">{#N/A,#N/A,FALSE,"LoanAssumptions"}</definedName>
    <definedName name="ouy" localSheetId="6" hidden="1">{#N/A,#N/A,FALSE,"ExitStratigy"}</definedName>
    <definedName name="ouy" localSheetId="5" hidden="1">{#N/A,#N/A,FALSE,"ExitStratigy"}</definedName>
    <definedName name="ouy" hidden="1">{#N/A,#N/A,FALSE,"ExitStratigy"}</definedName>
    <definedName name="p" localSheetId="6" hidden="1">{"AnnualRentRoll",#N/A,FALSE,"RentRoll"}</definedName>
    <definedName name="p" localSheetId="5" hidden="1">{"AnnualRentRoll",#N/A,FALSE,"RentRoll"}</definedName>
    <definedName name="p" hidden="1">{"AnnualRentRoll",#N/A,FALSE,"RentRoll"}</definedName>
    <definedName name="pd3policy" localSheetId="6" hidden="1">{"AnnualRentRoll",#N/A,FALSE,"RentRoll"}</definedName>
    <definedName name="pd3policy" localSheetId="5" hidden="1">{"AnnualRentRoll",#N/A,FALSE,"RentRoll"}</definedName>
    <definedName name="pd3policy" hidden="1">{"AnnualRentRoll",#N/A,FALSE,"RentRoll"}</definedName>
    <definedName name="pdappli" localSheetId="6" hidden="1">{#N/A,#N/A,TRUE,"Summary";"AnnualRentRoll",#N/A,TRUE,"RentRoll";#N/A,#N/A,TRUE,"ExitStratigy";#N/A,#N/A,TRUE,"OperatingAssumptions"}</definedName>
    <definedName name="pdappli" localSheetId="5" hidden="1">{#N/A,#N/A,TRUE,"Summary";"AnnualRentRoll",#N/A,TRUE,"RentRoll";#N/A,#N/A,TRUE,"ExitStratigy";#N/A,#N/A,TRUE,"OperatingAssumptions"}</definedName>
    <definedName name="pdappli" hidden="1">{#N/A,#N/A,TRUE,"Summary";"AnnualRentRoll",#N/A,TRUE,"RentRoll";#N/A,#N/A,TRUE,"ExitStratigy";#N/A,#N/A,TRUE,"OperatingAssumptions"}</definedName>
    <definedName name="pdpdpd" localSheetId="6" hidden="1">{#N/A,#N/A,FALSE,"LoanAssumptions"}</definedName>
    <definedName name="pdpdpd" localSheetId="5" hidden="1">{#N/A,#N/A,FALSE,"LoanAssumptions"}</definedName>
    <definedName name="pdpdpd" hidden="1">{#N/A,#N/A,FALSE,"LoanAssumptions"}</definedName>
    <definedName name="ＰＨＳ" localSheetId="6" hidden="1">{#N/A,#N/A,FALSE,"PropertyInfo"}</definedName>
    <definedName name="ＰＨＳ" hidden="1">{#N/A,#N/A,FALSE,"PropertyInfo"}</definedName>
    <definedName name="po" localSheetId="6" hidden="1">{#N/A,#N/A,FALSE,"ExitStratigy"}</definedName>
    <definedName name="po" localSheetId="5" hidden="1">{#N/A,#N/A,FALSE,"ExitStratigy"}</definedName>
    <definedName name="po" hidden="1">{#N/A,#N/A,FALSE,"ExitStratigy"}</definedName>
    <definedName name="pojgpojopjosjosjf0wejf0wejfsd" hidden="1">{#N/A,#N/A,FALSE,"PJ CF Comm";#N/A,#N/A,FALSE,"matx assump com";#N/A,#N/A,FALSE,"matx data com";#N/A,#N/A,FALSE,"matx com"}</definedName>
    <definedName name="pop" hidden="1">#REF!</definedName>
    <definedName name="ppp" localSheetId="6" hidden="1">{#N/A,#N/A,FALSE,"OperatingAssumptions"}</definedName>
    <definedName name="ppp" localSheetId="5" hidden="1">{#N/A,#N/A,FALSE,"OperatingAssumptions"}</definedName>
    <definedName name="ppp" hidden="1">{#N/A,#N/A,FALSE,"OperatingAssumptions"}</definedName>
    <definedName name="PR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Print_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CSC_Report_2" hidden="1">{"CSC_1",#N/A,FALSE,"CSC Outputs";"CSC_2",#N/A,FALSE,"CSC Outputs"}</definedName>
    <definedName name="ProdForm" hidden="1">#REF!</definedName>
    <definedName name="Product" hidden="1">#REF!</definedName>
    <definedName name="ｑｑｑｑ" localSheetId="6" hidden="1">{"'フローチャート'!$A$1:$AO$191"}</definedName>
    <definedName name="ｑｑｑｑ" hidden="1">{"'フローチャート'!$A$1:$AO$191"}</definedName>
    <definedName name="qqqqq" localSheetId="6" hidden="1">{#N/A,#N/A,FALSE,"LoanAssumptions"}</definedName>
    <definedName name="qqqqq" localSheetId="5" hidden="1">{#N/A,#N/A,FALSE,"LoanAssumptions"}</definedName>
    <definedName name="qqqqq" hidden="1">{#N/A,#N/A,FALSE,"LoanAssumptions"}</definedName>
    <definedName name="qqqqqq" hidden="1">{"グラフ",#N/A,FALSE,"全社実績月次推移"}</definedName>
    <definedName name="qqqqqqq" hidden="1">{"ｹﾝﾄ（M)",#N/A,FALSE,"収支・日割";"ｹﾝﾄ（RD)",#N/A,FALSE,"収支・日割";"ｹﾝﾄ（PMC)",#N/A,FALSE,"収支・日割"}</definedName>
    <definedName name="qqqqqqqqqqqqqq" hidden="1">#REF!</definedName>
    <definedName name="qsq" hidden="1">{"Actual",#N/A,FALSE,"(価格)";"Market",#N/A,FALSE,"(価格)";"Plan",#N/A,FALSE,"(価格)"}</definedName>
    <definedName name="ＲＡＲＯＡ" hidden="1">{"'下期集計（10.27迄・速報値）'!$Q$16"}</definedName>
    <definedName name="Ratta" hidden="1">{#N/A,#N/A,FALSE,"Summary"}</definedName>
    <definedName name="RCArea" hidden="1">#REF!</definedName>
    <definedName name="rec" hidden="1">#REF!</definedName>
    <definedName name="regeg" hidden="1">{"general",#N/A,FALSE,"Assumptions"}</definedName>
    <definedName name="regrg" hidden="1">{"comp1",#N/A,FALSE,"COMPS";"footnotes",#N/A,FALSE,"COMPS"}</definedName>
    <definedName name="reuf" localSheetId="6" hidden="1">{"AnnualRentRoll",#N/A,FALSE,"RentRoll"}</definedName>
    <definedName name="reuf" localSheetId="5" hidden="1">{"AnnualRentRoll",#N/A,FALSE,"RentRoll"}</definedName>
    <definedName name="reuf" hidden="1">{"AnnualRentRoll",#N/A,FALSE,"RentRoll"}</definedName>
    <definedName name="reufd" localSheetId="6" hidden="1">{"AnnualRentRoll",#N/A,FALSE,"RentRoll"}</definedName>
    <definedName name="reufd" localSheetId="5" hidden="1">{"AnnualRentRoll",#N/A,FALSE,"RentRoll"}</definedName>
    <definedName name="reufd" hidden="1">{"AnnualRentRoll",#N/A,FALSE,"RentRoll"}</definedName>
    <definedName name="rewq" localSheetId="6" hidden="1">{"AnnualRentRoll",#N/A,FALSE,"RentRoll"}</definedName>
    <definedName name="rewq" localSheetId="5" hidden="1">{"AnnualRentRoll",#N/A,FALSE,"RentRoll"}</definedName>
    <definedName name="rewq" hidden="1">{"AnnualRentRoll",#N/A,FALSE,"RentRoll"}</definedName>
    <definedName name="rfuuuuu" localSheetId="6" hidden="1">{#N/A,#N/A,FALSE,"LoanAssumptions"}</definedName>
    <definedName name="rfuuuuu" localSheetId="5" hidden="1">{#N/A,#N/A,FALSE,"LoanAssumptions"}</definedName>
    <definedName name="rfuuuuu" hidden="1">{#N/A,#N/A,FALSE,"LoanAssumptions"}</definedName>
    <definedName name="rgfag" hidden="1">{"comps2",#N/A,FALSE,"AERO";"footnotes",#N/A,FALSE,"AERO"}</definedName>
    <definedName name="ＲＪ" hidden="1">{"summary",#N/A,TRUE,"Focus";"interestexpense",#N/A,TRUE,"Focus";"interestincome",#N/A,TRUE,"Focus";"dividend",#N/A,TRUE,"Focus";"feeincome",#N/A,TRUE,"Focus";"gain",#N/A,TRUE,"Focus"}</definedName>
    <definedName name="rlkjfu" localSheetId="6" hidden="1">{#N/A,#N/A,FALSE,"LoanAssumptions"}</definedName>
    <definedName name="rlkjfu" localSheetId="5" hidden="1">{#N/A,#N/A,FALSE,"LoanAssumptions"}</definedName>
    <definedName name="rlkjfu" hidden="1">{#N/A,#N/A,FALSE,"LoanAssumptions"}</definedName>
    <definedName name="rokko" hidden="1">{#N/A,#N/A,FALSE,"OperatingAssumptions"}</definedName>
    <definedName name="ropponngi" hidden="1">{"AnnualRentRoll",#N/A,FALSE,"RentRoll"}</definedName>
    <definedName name="RR_Kamata_New" hidden="1">{"MonthlyRentRoll",#N/A,FALSE,"RentRoll"}</definedName>
    <definedName name="rt" localSheetId="6" hidden="1">{"AnnualRentRoll",#N/A,FALSE,"RentRoll"}</definedName>
    <definedName name="rt" localSheetId="5" hidden="1">{"AnnualRentRoll",#N/A,FALSE,"RentRoll"}</definedName>
    <definedName name="rt" hidden="1">{"AnnualRentRoll",#N/A,FALSE,"RentRoll"}</definedName>
    <definedName name="ruf" localSheetId="6" hidden="1">{#N/A,#N/A,FALSE,"ExitStratigy"}</definedName>
    <definedName name="ruf" localSheetId="5" hidden="1">{#N/A,#N/A,FALSE,"ExitStratigy"}</definedName>
    <definedName name="ruf" hidden="1">{#N/A,#N/A,FALSE,"ExitStratigy"}</definedName>
    <definedName name="rufff" localSheetId="6" hidden="1">{"AnnualRentRoll",#N/A,FALSE,"RentRoll"}</definedName>
    <definedName name="rufff" localSheetId="5" hidden="1">{"AnnualRentRoll",#N/A,FALSE,"RentRoll"}</definedName>
    <definedName name="rufff" hidden="1">{"AnnualRentRoll",#N/A,FALSE,"RentRoll"}</definedName>
    <definedName name="Rwvu.LEVEL." hidden="1">#REF!,#REF!</definedName>
    <definedName name="sad" hidden="1">{#N/A,#N/A,FALSE,"LoanAssumptions"}</definedName>
    <definedName name="sadd" localSheetId="6" hidden="1">{"MonthlyRentRoll",#N/A,FALSE,"RentRoll"}</definedName>
    <definedName name="sadd" localSheetId="5" hidden="1">{"MonthlyRentRoll",#N/A,FALSE,"RentRoll"}</definedName>
    <definedName name="sadd" hidden="1">{"MonthlyRentRoll",#N/A,FALSE,"RentRoll"}</definedName>
    <definedName name="sadd_1" hidden="1">{"MonthlyRentRoll",#N/A,FALSE,"RentRoll"}</definedName>
    <definedName name="saddd" localSheetId="6" hidden="1">{"AnnualRentRoll",#N/A,FALSE,"RentRoll"}</definedName>
    <definedName name="saddd" localSheetId="5" hidden="1">{"AnnualRentRoll",#N/A,FALSE,"RentRoll"}</definedName>
    <definedName name="saddd" hidden="1">{"AnnualRentRoll",#N/A,FALSE,"RentRoll"}</definedName>
    <definedName name="saddd_1" hidden="1">{"AnnualRentRoll",#N/A,FALSE,"RentRoll"}</definedName>
    <definedName name="saddddd" localSheetId="6" hidden="1">{"AnnualRentRoll",#N/A,FALSE,"RentRoll"}</definedName>
    <definedName name="saddddd" localSheetId="5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ddd" localSheetId="6" hidden="1">{#N/A,#N/A,FALSE,"ExitStratigy"}</definedName>
    <definedName name="sadddddddd" localSheetId="5" hidden="1">{#N/A,#N/A,FALSE,"ExitStratigy"}</definedName>
    <definedName name="sadddddddd" hidden="1">{#N/A,#N/A,FALSE,"ExitStratigy"}</definedName>
    <definedName name="sadddddddd_1" hidden="1">{#N/A,#N/A,FALSE,"ExitStratigy"}</definedName>
    <definedName name="sadddddddddd" localSheetId="6" hidden="1">{#N/A,#N/A,FALSE,"LoanAssumptions"}</definedName>
    <definedName name="sadddddddddd" localSheetId="5" hidden="1">{#N/A,#N/A,FALSE,"LoanAssumptions"}</definedName>
    <definedName name="sadddddddddd" hidden="1">{#N/A,#N/A,FALSE,"LoanAssumptions"}</definedName>
    <definedName name="sadddddddddd_1" hidden="1">{#N/A,#N/A,FALSE,"LoanAssumptions"}</definedName>
    <definedName name="saddddddddddda" hidden="1">{#N/A,#N/A,FALSE,"OperatingAssumptions"}</definedName>
    <definedName name="saddddddddddddd" localSheetId="6" hidden="1">{#N/A,#N/A,FALSE,"OperatingAssumptions"}</definedName>
    <definedName name="saddddddddddddd" localSheetId="5" hidden="1">{#N/A,#N/A,FALSE,"OperatingAssumptions"}</definedName>
    <definedName name="saddddddddddddd" hidden="1">{#N/A,#N/A,FALSE,"OperatingAssumptions"}</definedName>
    <definedName name="saddddddddddddd_1" hidden="1">{#N/A,#N/A,FALSE,"OperatingAssumptions"}</definedName>
    <definedName name="sadddddddddddddddddd" hidden="1">{#N/A,#N/A,FALSE,"OperatingAssumptions"}</definedName>
    <definedName name="sadlkur" hidden="1">{#N/A,#N/A,FALSE,"PropertyInfo"}</definedName>
    <definedName name="saiken" hidden="1">{"'下期集計（10.27迄・速報値）'!$Q$16"}</definedName>
    <definedName name="SAPBEXrevision" hidden="1">1</definedName>
    <definedName name="SAPBEXsysID" hidden="1">"MBP"</definedName>
    <definedName name="SAPBEXwbID" hidden="1">"4HLDVXLEKFYCWN32G2G243X1O"</definedName>
    <definedName name="sdf" hidden="1">{#N/A,#N/A,FALSE,"LoanAssumptions"}</definedName>
    <definedName name="sdfklj" hidden="1">{"AnnualRentRoll",#N/A,FALSE,"RentRoll"}</definedName>
    <definedName name="sdfuk" hidden="1">{#N/A,#N/A,FALSE,"OperatingAssumptions"}</definedName>
    <definedName name="sdfuvr" hidden="1">{#N/A,#N/A,FALSE,"OperatingAssumptions"}</definedName>
    <definedName name="sdgg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dlkjr" localSheetId="6" hidden="1">{#N/A,#N/A,FALSE,"OperatingAssumptions"}</definedName>
    <definedName name="sdlkjr" localSheetId="5" hidden="1">{#N/A,#N/A,FALSE,"OperatingAssumptions"}</definedName>
    <definedName name="sdlkjr" hidden="1">{#N/A,#N/A,FALSE,"OperatingAssumptions"}</definedName>
    <definedName name="sdnr" localSheetId="6" hidden="1">{#N/A,#N/A,FALSE,"ExitStratigy"}</definedName>
    <definedName name="sdnr" localSheetId="5" hidden="1">{#N/A,#N/A,FALSE,"ExitStratigy"}</definedName>
    <definedName name="sdnr" hidden="1">{#N/A,#N/A,FALSE,"ExitStratigy"}</definedName>
    <definedName name="ＳＤＳＤＳ" hidden="1">{#N/A,#N/A,FALSE,"本部経費 "}</definedName>
    <definedName name="sefs" hidden="1">{"werbung",#N/A,FALSE,"GuV9900-0399";"betrieb",#N/A,FALSE,"GuV9900-0399";"personal",#N/A,FALSE,"GuV9900-0399";"tvg",#N/A,FALSE,"GuV9900-0399";"verwaltung",#N/A,FALSE,"GuV9900-0399"}</definedName>
    <definedName name="sefsef" hidden="1">{"werbung",#N/A,FALSE,"GuV9900-0399";"betrieb",#N/A,FALSE,"GuV9900-0399";"personal",#N/A,FALSE,"GuV9900-0399";"tvg",#N/A,FALSE,"GuV9900-0399";"verwaltung",#N/A,FALSE,"GuV9900-0399"}</definedName>
    <definedName name="sencount" hidden="1">1</definedName>
    <definedName name="ser" localSheetId="6" hidden="1">{"AnnualRentRoll",#N/A,FALSE,"RentRoll"}</definedName>
    <definedName name="ser" localSheetId="5" hidden="1">{"AnnualRentRoll",#N/A,FALSE,"RentRoll"}</definedName>
    <definedName name="ser" hidden="1">{"AnnualRentRoll",#N/A,FALSE,"RentRoll"}</definedName>
    <definedName name="sfe" hidden="1">{"werbung",#N/A,FALSE,"GuV9900-0399";"betrieb",#N/A,FALSE,"GuV9900-0399";"personal",#N/A,FALSE,"GuV9900-0399";"tvg",#N/A,FALSE,"GuV9900-0399";"verwaltung",#N/A,FALSE,"GuV9900-0399"}</definedName>
    <definedName name="sfer" localSheetId="6" hidden="1">{#N/A,#N/A,FALSE,"ExitStratigy"}</definedName>
    <definedName name="sfer" localSheetId="5" hidden="1">{#N/A,#N/A,FALSE,"ExitStratigy"}</definedName>
    <definedName name="sfer" hidden="1">{#N/A,#N/A,FALSE,"ExitStratigy"}</definedName>
    <definedName name="sfjne" hidden="1">{"werbung",#N/A,FALSE,"GuV9900-0399";"betrieb",#N/A,FALSE,"GuV9900-0399";"personal",#N/A,FALSE,"GuV9900-0399";"tvg",#N/A,FALSE,"GuV9900-0399";"verwaltung",#N/A,FALSE,"GuV9900-0399"}</definedName>
    <definedName name="sgf" hidden="1">{#N/A,#N/A,TRUE,"financial";#N/A,#N/A,TRUE,"plants"}</definedName>
    <definedName name="sgh" hidden="1">{#N/A,#N/A,TRUE,"Pro Forma";#N/A,#N/A,TRUE,"PF_Bal";#N/A,#N/A,TRUE,"PF_INC";#N/A,#N/A,TRUE,"CBE";#N/A,#N/A,TRUE,"SWK"}</definedName>
    <definedName name="sgsgs" hidden="1">{"MonthlyRentRoll",#N/A,FALSE,"RentRoll"}</definedName>
    <definedName name="SIG_CONTROLE" hidden="1">#N/A</definedName>
    <definedName name="SIG_DERNIERECOLONNE" hidden="1">#N/A</definedName>
    <definedName name="SIG_EFFECTV_firstLine" hidden="1">#N/A</definedName>
    <definedName name="SIG_EFFECTV_IsControlOK" hidden="1">#N/A</definedName>
    <definedName name="SIG_EFFECTV_lastLine" hidden="1">#N/A</definedName>
    <definedName name="SIG_EFFECTV_TITLELINE" hidden="1">#N/A</definedName>
    <definedName name="SIG_PTBD_EFFECTV" hidden="1">#N/A</definedName>
    <definedName name="SIG_PTHG_EFFECTV" hidden="1">#N/A</definedName>
    <definedName name="skjfe" hidden="1">{"werbung",#N/A,FALSE,"GuV9900-0399";"betrieb",#N/A,FALSE,"GuV9900-0399";"personal",#N/A,FALSE,"GuV9900-0399";"tvg",#N/A,FALSE,"GuV9900-0399";"verwaltung",#N/A,FALSE,"GuV9900-0399"}</definedName>
    <definedName name="skjfiej" hidden="1">{"werbung",#N/A,FALSE,"GuV9900-0399";"betrieb",#N/A,FALSE,"GuV9900-0399";"personal",#N/A,FALSE,"GuV9900-0399";"tvg",#N/A,FALSE,"GuV9900-0399";"verwaltung",#N/A,FALSE,"GuV9900-0399"}</definedName>
    <definedName name="slrkjfu" localSheetId="6" hidden="1">{#N/A,#N/A,FALSE,"PropertyInfo"}</definedName>
    <definedName name="slrkjfu" localSheetId="5" hidden="1">{#N/A,#N/A,FALSE,"PropertyInfo"}</definedName>
    <definedName name="slrkjfu" hidden="1">{#N/A,#N/A,FALSE,"PropertyInfo"}</definedName>
    <definedName name="so" hidden="1">#N/A</definedName>
    <definedName name="SpecialPrice" hidden="1">#REF!</definedName>
    <definedName name="Swvu.LEVEL." hidden="1">#REF!</definedName>
    <definedName name="t.t.t" localSheetId="6" hidden="1">{"賃貸事例比較法",#N/A,FALSE,"Sheet2";"賃貸条件",#N/A,FALSE,"Sheet2"}</definedName>
    <definedName name="t.t.t" hidden="1">{"賃貸事例比較法",#N/A,FALSE,"Sheet2";"賃貸条件",#N/A,FALSE,"Sheet2"}</definedName>
    <definedName name="tatsuya" localSheetId="6" hidden="1">{"AnnualRentRoll",#N/A,FALSE,"RentRoll"}</definedName>
    <definedName name="tatsuya" hidden="1">{"AnnualRentRoll",#N/A,FALSE,"RentRoll"}</definedName>
    <definedName name="tbl_ProdInfo" hidden="1">#REF!</definedName>
    <definedName name="teee" hidden="1">#REF!</definedName>
    <definedName name="temp" localSheetId="6" hidden="1">{"'フローチャート'!$A$1:$AO$191"}</definedName>
    <definedName name="temp" hidden="1">{"'フローチャート'!$A$1:$AO$191"}</definedName>
    <definedName name="test1" hidden="1">{#N/A,#N/A,FALSE,"Calculator"}</definedName>
    <definedName name="test2" hidden="1">{#N/A,#N/A,FALSE,"Calculator"}</definedName>
    <definedName name="test21" hidden="1">{#N/A,#N/A,FALSE,"Calculator"}</definedName>
    <definedName name="test31" hidden="1">{#N/A,#N/A,FALSE,"Calculator"}</definedName>
    <definedName name="TextRefCopyRangeCount" hidden="1">16</definedName>
    <definedName name="Thomas" hidden="1">{#N/A,#N/A,FALSE,"Aktiv";#N/A,#N/A,FALSE,"stat.con.";#N/A,#N/A,FALSE,"Konzern"}</definedName>
    <definedName name="todoroki" localSheetId="6" hidden="1">#REF!</definedName>
    <definedName name="todoroki" localSheetId="5" hidden="1">#REF!</definedName>
    <definedName name="todoroki" hidden="1">#REF!</definedName>
    <definedName name="tomoda5" hidden="1">{0,0,0,0;0,0,0,0;0,0,0,0}</definedName>
    <definedName name="tttttt" hidden="1">{"ｹﾝﾄ（M)",#N/A,FALSE,"収支・日割";"ｹﾝﾄ（RD)",#N/A,FALSE,"収支・日割";"ｹﾝﾄ（PMC)",#N/A,FALSE,"収支・日割"}</definedName>
    <definedName name="u" localSheetId="6" hidden="1">{#N/A,#N/A,TRUE,"Summary";"AnnualRentRoll",#N/A,TRUE,"RentRoll";#N/A,#N/A,TRUE,"ExitStratigy";#N/A,#N/A,TRUE,"OperatingAssumptions"}</definedName>
    <definedName name="u" localSheetId="5" hidden="1">{#N/A,#N/A,TRUE,"Summary";"AnnualRentRoll",#N/A,TRUE,"RentRoll";#N/A,#N/A,TRUE,"ExitStratigy";#N/A,#N/A,TRUE,"OperatingAssumptions"}</definedName>
    <definedName name="u" hidden="1">{#N/A,#N/A,TRUE,"Summary";"AnnualRentRoll",#N/A,TRUE,"RentRoll";#N/A,#N/A,TRUE,"ExitStratigy";#N/A,#N/A,TRUE,"OperatingAssumptions"}</definedName>
    <definedName name="ufr" hidden="1">{#N/A,#N/A,FALSE,"LoanAssumptions"}</definedName>
    <definedName name="UW_towerC" hidden="1">{"MonthlyRentRoll",#N/A,FALSE,"RentRoll"}</definedName>
    <definedName name="v" localSheetId="6" hidden="1">#REF!,#REF!,#REF!,#REF!,#REF!,#REF!,#REF!,#REF!</definedName>
    <definedName name="v" localSheetId="5" hidden="1">#REF!,#REF!,#REF!,#REF!,#REF!,#REF!,#REF!,#REF!</definedName>
    <definedName name="v" hidden="1">#REF!,#REF!,#REF!,#REF!,#REF!,#REF!,#REF!,#REF!</definedName>
    <definedName name="vfsdlku" hidden="1">{"AnnualRentRoll",#N/A,FALSE,"RentRoll"}</definedName>
    <definedName name="viu" localSheetId="6" hidden="1">#REF!</definedName>
    <definedName name="viu" localSheetId="5" hidden="1">#REF!</definedName>
    <definedName name="viu" hidden="1">#REF!</definedName>
    <definedName name="Vo" hidden="1">{#N/A,#N/A,FALSE,"Summary";#N/A,#N/A,FALSE,"Road";#N/A,#N/A,FALSE,"Bridges";#N/A,#N/A,FALSE,"Variations";#N/A,#N/A,FALSE,"Materials";#N/A,#N/A,FALSE,"CostAdjust"}</definedName>
    <definedName name="vru" localSheetId="6" hidden="1">{"AnnualRentRoll",#N/A,FALSE,"RentRoll"}</definedName>
    <definedName name="vru" localSheetId="5" hidden="1">{"AnnualRentRoll",#N/A,FALSE,"RentRoll"}</definedName>
    <definedName name="vru" hidden="1">{"AnnualRentRoll",#N/A,FALSE,"RentRoll"}</definedName>
    <definedName name="vvvvvvvvvvvvvvvvvvvvvvvvvvvvvvvvvrrrrrrrrrrrrrrrrrrrrrrrrrrrr" hidden="1">{"賃貸事例比較法",#N/A,FALSE,"Sheet2";"賃貸条件",#N/A,FALSE,"Sheet2"}</definedName>
    <definedName name="we" localSheetId="6" hidden="1">{#N/A,#N/A,FALSE,"OperatingAssumptions"}</definedName>
    <definedName name="we" localSheetId="5" hidden="1">{#N/A,#N/A,FALSE,"OperatingAssumptions"}</definedName>
    <definedName name="we" hidden="1">{#N/A,#N/A,FALSE,"OperatingAssumptions"}</definedName>
    <definedName name="weee" hidden="1">{#N/A,#N/A,FALSE,"ExitStratigy"}</definedName>
    <definedName name="wefd" hidden="1">{"werbung",#N/A,FALSE,"GuV9900-0399";"betrieb",#N/A,FALSE,"GuV9900-0399";"personal",#N/A,FALSE,"GuV9900-0399";"tvg",#N/A,FALSE,"GuV9900-0399";"verwaltung",#N/A,FALSE,"GuV9900-0399"}</definedName>
    <definedName name="werlku" hidden="1">{#N/A,#N/A,FALSE,"ExitStratigy"}</definedName>
    <definedName name="werr" localSheetId="6" hidden="1">{#N/A,#N/A,FALSE,"OperatingAssumptions"}</definedName>
    <definedName name="werr" localSheetId="5" hidden="1">{#N/A,#N/A,FALSE,"OperatingAssumptions"}</definedName>
    <definedName name="werr" hidden="1">{#N/A,#N/A,FALSE,"OperatingAssumptions"}</definedName>
    <definedName name="weru" hidden="1">{#N/A,#N/A,FALSE,"OperatingAssumptions"}</definedName>
    <definedName name="werwe" hidden="1">{"Actual",#N/A,FALSE,"(価格)";"Market",#N/A,FALSE,"(価格)";"Plan",#N/A,FALSE,"(価格)"}</definedName>
    <definedName name="werwer" hidden="1">{"Actual",#N/A,FALSE,"(価格)";"Market",#N/A,FALSE,"(価格)";"Plan",#N/A,FALSE,"(価格)"}</definedName>
    <definedName name="werwerwe" hidden="1">{"ｹﾝﾄ（M)",#N/A,FALSE,"収支・日割";"ｹﾝﾄ（RD)",#N/A,FALSE,"収支・日割";"ｹﾝﾄ（PMC)",#N/A,FALSE,"収支・日割"}</definedName>
    <definedName name="wet" hidden="1">{"Actual",#N/A,FALSE,"(価格)";"Market",#N/A,FALSE,"(価格)";"Plan",#N/A,FALSE,"(価格)"}</definedName>
    <definedName name="wetwtwe" hidden="1">{#N/A,#N/A,FALSE,"１";#N/A,#N/A,FALSE,"２";#N/A,#N/A,FALSE,"３";#N/A,#N/A,FALSE,"４"}</definedName>
    <definedName name="wfeab" hidden="1">{"werbung",#N/A,FALSE,"GuV9900-0399";"betrieb",#N/A,FALSE,"GuV9900-0399";"personal",#N/A,FALSE,"GuV9900-0399";"tvg",#N/A,FALSE,"GuV9900-0399";"verwaltung",#N/A,FALSE,"GuV9900-0399"}</definedName>
    <definedName name="wp" hidden="1">{"'下期集計（10.27迄・速報値）'!$Q$16"}</definedName>
    <definedName name="wqeqw" hidden="1">{#N/A,#N/A,FALSE,"１";#N/A,#N/A,FALSE,"２";#N/A,#N/A,FALSE,"３";#N/A,#N/A,FALSE,"４"}</definedName>
    <definedName name="wqrqw" hidden="1">{#N/A,#N/A,FALSE,"１";#N/A,#N/A,FALSE,"２";#N/A,#N/A,FALSE,"３";#N/A,#N/A,FALSE,"４"}</definedName>
    <definedName name="wrn" hidden="1">{"Actual",#N/A,FALSE,"(価格)";"Market",#N/A,FALSE,"(価格)";"Plan",#N/A,FALSE,"(価格)"}</definedName>
    <definedName name="wrn." localSheetId="6" hidden="1">{#N/A,#N/A,FALSE,"PropertyInfo"}</definedName>
    <definedName name="wrn." localSheetId="5" hidden="1">{#N/A,#N/A,FALSE,"PropertyInfo"}</definedName>
    <definedName name="wrn." hidden="1">{#N/A,#N/A,FALSE,"PropertyInfo"}</definedName>
    <definedName name="wrn.1." hidden="1">{#N/A,#N/A,FALSE,"Calc";#N/A,#N/A,FALSE,"Sensitivity";#N/A,#N/A,FALSE,"LT Earn.Dil.";#N/A,#N/A,FALSE,"Dil. AVP"}</definedName>
    <definedName name="wrn.123" hidden="1">{#N/A,#N/A,FALSE,"１";#N/A,#N/A,FALSE,"２";#N/A,#N/A,FALSE,"３";#N/A,#N/A,FALSE,"４"}</definedName>
    <definedName name="WRN.2." hidden="1">{#N/A,#N/A,FALSE,"Calc";#N/A,#N/A,FALSE,"Sensitivity";#N/A,#N/A,FALSE,"LT Earn.Dil.";#N/A,#N/A,FALSE,"Dil. AVP"}</definedName>
    <definedName name="wrn.310._.rec.." hidden="1">{"rec. of 310",#N/A,FALSE,"Resanal"}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97년._.9월._.임차현황." hidden="1">{#N/A,#N/A,FALSE,"동부"}</definedName>
    <definedName name="wrn.Account._.Analysis." hidden="1">{#N/A,#N/A,FALSE,"Account Receivable";#N/A,#N/A,FALSE,"Prepaid Expense";#N/A,#N/A,FALSE,"Accounts Payable";#N/A,#N/A,FALSE,"Accrued Expense";#N/A,#N/A,FALSE,"Equipment on Test"}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{#N/A,#N/A,FALSE,"PJ CF Comm";#N/A,#N/A,FALSE,"matx assump com";#N/A,#N/A,FALSE,"matx data com";#N/A,#N/A,FALSE,"matx com"}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nnualLentLoll" localSheetId="6" hidden="1">{"AnnualRentRoll",#N/A,FALSE,"RentRoll"}</definedName>
    <definedName name="wrn.AnnualLentLoll" localSheetId="5" hidden="1">{"AnnualRentRoll",#N/A,FALSE,"RentRoll"}</definedName>
    <definedName name="wrn.AnnualLentLoll" hidden="1">{"AnnualRentRoll",#N/A,FALSE,"RentRoll"}</definedName>
    <definedName name="wrn.AnnualLentLoll." localSheetId="6" hidden="1">{"AnnualRentRoll",#N/A,FALSE,"RentRoll"}</definedName>
    <definedName name="wrn.AnnualLentLoll." localSheetId="5" hidden="1">{"AnnualRentRoll",#N/A,FALSE,"RentRoll"}</definedName>
    <definedName name="wrn.AnnualLentLoll." hidden="1">{"AnnualRentRoll",#N/A,FALSE,"RentRoll"}</definedName>
    <definedName name="wrn.AnnualRentRoll" localSheetId="6" hidden="1">{"AnnualRentRoll",#N/A,FALSE,"RentRoll"}</definedName>
    <definedName name="wrn.AnnualRentRoll" localSheetId="5" hidden="1">{"AnnualRentRoll",#N/A,FALSE,"RentRoll"}</definedName>
    <definedName name="wrn.AnnualRentRoll" hidden="1">{"AnnualRentRoll",#N/A,FALSE,"RentRoll"}</definedName>
    <definedName name="wrn.AnnualRentRoll." localSheetId="6" hidden="1">{"AnnualRentRoll",#N/A,FALSE,"RentRoll"}</definedName>
    <definedName name="wrn.AnnualRentRoll." localSheetId="5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_1" hidden="1">{"AnnualRentRoll",#N/A,FALSE,"RentRoll"}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way." hidden="1">{"away stand alones",#N/A,FALSE,"Target"}</definedName>
    <definedName name="wrn.Banu." hidden="1">{#N/A,#N/A,FALSE,"Report 2";#N/A,#N/A,FALSE,"Report 3";#N/A,#N/A,FALSE,"Konrzern"}</definedName>
    <definedName name="wrn.Bericht._.Vorstand." hidden="1">{#N/A,#N/A,FALSE,"Finale1";#N/A,#N/A,FALSE,"Finale2";#N/A,#N/A,FALSE,"peiodisch1";#N/A,#N/A,FALSE,"periodisch2";#N/A,#N/A,FALSE,"Aktiv";#N/A,#N/A,FALSE,"Passiv";#N/A,#N/A,FALSE,"Report 2";#N/A,#N/A,FALSE,"Report 3";#N/A,#N/A,FALSE,"Summary";#N/A,#N/A,FALSE,"EWB";#N/A,#N/A,FALSE,"Actual-Budget (kum)";#N/A,#N/A,FALSE,"Actual-Budget (per)";#N/A,#N/A,FALSE,"Comparison YTD"}</definedName>
    <definedName name="wrn.BIS_Vorgaben." hidden="1">{#N/A,#N/A,FALSE,"Aktiv";#N/A,#N/A,FALSE,"stat.con.";#N/A,#N/A,FALSE,"Konzern"}</definedName>
    <definedName name="wrn.Bista_Unterlagen." hidden="1">{#N/A,#N/A,FALSE,"Eingaben";#N/A,#N/A,FALSE,"Auft. Einl. + Zinsen";#N/A,#N/A,FALSE,"Forder.+Verbindlk. ";#N/A,#N/A,FALSE,"Sonstige Aktiva";#N/A,#N/A,FALSE,"Sonstige Passiva";#N/A,#N/A,FALSE,"Debitoren (Anlage B1)";#N/A,#N/A,FALSE,"Anlage zu B1";#N/A,#N/A,FALSE,"Hauptvordruck Blatt 1";#N/A,#N/A,FALSE,"Hauptvordruck Blatt 2";#N/A,#N/A,FALSE,"Buchford. B 1";#N/A,#N/A,FALSE,"Grundsatz II";#N/A,#N/A,FALSE,"Grundsatz III"}</definedName>
    <definedName name="wrn.brian." hidden="1">{#N/A,#N/A,FALSE,"output";#N/A,#N/A,FALSE,"contrib";#N/A,#N/A,FALSE,"profile";#N/A,#N/A,FALSE,"comps"}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hart._.of._.Accounts." hidden="1">{#N/A,#N/A,FALSE,"Categories";#N/A,#N/A,FALSE,"MRi INCH";#N/A,#N/A,FALSE,"COA Usage";#N/A,#N/A,FALSE,"Detail"}</definedName>
    <definedName name="wrn.comps." hidden="1">{"comps",#N/A,FALSE,"comps";"notes",#N/A,FALSE,"comps"}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Currency._.Analysis." hidden="1">{"Analysis of Assets_Liabilities",#N/A,FALSE,"ccy_anal";"Analysis of Investments",#N/A,FALSE,"ccy_anal"}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ntire._.Model." hidden="1">{"Income Page",#N/A,FALSE,"Income";"Quarterly Page",#N/A,FALSE,"Quarterly";"EPS Page",#N/A,FALSE,"EPS";"Cashflow Page",#N/A,FALSE,"CashFlow"}</definedName>
    <definedName name="wrn.equity._.comps." hidden="1">{"equity comps",#N/A,FALSE,"CS Comps";"equity comps",#N/A,FALSE,"PS Comps";"equity comps",#N/A,FALSE,"GIC_Comps";"equity comps",#N/A,FALSE,"GIC2_Comps"}</definedName>
    <definedName name="wrn.Error._.Report." hidden="1">{"Error Report",#N/A,FALSE,"Report"}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B." hidden="1">{#N/A,#N/A,FALSE,"EWB";#N/A,#N/A,FALSE,"EWB-2"}</definedName>
    <definedName name="wrn.ExitAndSalesAssumption." localSheetId="6" hidden="1">{#N/A,#N/A,FALSE,"ExitStratigy"}</definedName>
    <definedName name="wrn.ExitAndSalesAssumption." localSheetId="5" hidden="1">{#N/A,#N/A,FALSE,"ExitStratigy"}</definedName>
    <definedName name="wrn.ExitAndSalesAssumption." hidden="1">{#N/A,#N/A,FALSE,"ExitStratigy"}</definedName>
    <definedName name="wrn.ExitAndSalesAssumptions." localSheetId="6" hidden="1">{#N/A,#N/A,FALSE,"ExitStratigy"}</definedName>
    <definedName name="wrn.ExitAndSalesAssumptions." localSheetId="5" hidden="1">{#N/A,#N/A,FALSE,"ExitStratigy"}</definedName>
    <definedName name="wrn.ExitAndSalesAssumptions." hidden="1">{#N/A,#N/A,FALSE,"ExitStratigy"}</definedName>
    <definedName name="wrn.ExitAndSalesAssumptions._1" hidden="1">{#N/A,#N/A,FALSE,"ExitStratigy"}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ullPrintout." hidden="1">{#N/A,#N/A,FALSE,"Summary";#N/A,#N/A,FALSE,"Road";#N/A,#N/A,FALSE,"Bridges";#N/A,#N/A,FALSE,"Variations";#N/A,#N/A,FALSE,"Materials";#N/A,#N/A,FALSE,"CostAdjust"}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ain." localSheetId="6" hidden="1">{"gain",#N/A,FALSE,"Focus"}</definedName>
    <definedName name="wrn.gain." localSheetId="5" hidden="1">{"gain",#N/A,FALSE,"Focus"}</definedName>
    <definedName name="wrn.gain." hidden="1">{"gain",#N/A,FALSE,"Focus"}</definedName>
    <definedName name="wrn.Gesamt._.Neu." hidden="1">{#N/A,#N/A,FALSE,"Report 2";#N/A,#N/A,FALSE,"Report 3";#N/A,#N/A,FALSE,"Report 4";#N/A,#N/A,FALSE,"Actual-Budget (kum)";#N/A,#N/A,FALSE,"Actual-Budget (per)";#N/A,#N/A,FALSE,"Comparison YTD";#N/A,#N/A,FALSE,"Expenses YTD";#N/A,#N/A,FALSE,"Summary";#N/A,#N/A,FALSE,"Aktiv";#N/A,#N/A,FALSE,"Passiv";#N/A,#N/A,FALSE,"Finale1";#N/A,#N/A,FALSE,"Finale2";#N/A,#N/A,FALSE,"periodisch1";#N/A,#N/A,FALSE,"periodisch2";#N/A,#N/A,FALSE,"D-Bestand";#N/A,#N/A,FALSE,"D-Zins";#N/A,#N/A,FALSE,"Fil_A_Bestand";#N/A,#N/A,FALSE,"Fil_A_Zins";#N/A,#N/A,FALSE,"Fil_A_D-Zins";#N/A,#N/A,FALSE,"Fil_P_Bestand";#N/A,#N/A,FALSE,"Fil_P_Zins";#N/A,#N/A,FALSE,"Fil_P_Neu";#N/A,#N/A,FALSE,"Fil_P_Änd";#N/A,#N/A,FALSE,"Fil_P_Änd_kum";#N/A,#N/A,FALSE,"Report 5";#N/A,#N/A,FALSE,"EWB-2";#N/A,#N/A,FALSE,"EWB";#N/A,#N/A,FALSE,"Headcount";#N/A,#N/A,FALSE,"Headcount2";#N/A,#N/A,FALSE,"Investitionsgüter";#N/A,#N/A,FALSE,"Rückstellungen"}</definedName>
    <definedName name="wrn.Gesamtausdruck." hidden="1">{#N/A,#N/A,FALSE,"Finale1";#N/A,#N/A,FALSE,"Finale2";#N/A,#N/A,FALSE,"peiodisch1";#N/A,#N/A,FALSE,"periodisch2";#N/A,#N/A,FALSE,"Aktiv";#N/A,#N/A,FALSE,"Passiv";#N/A,#N/A,FALSE,"EWB";#N/A,#N/A,FALSE,"EWB-2";#N/A,#N/A,FALSE,"D-Bestand";#N/A,#N/A,FALSE,"D-Zins";#N/A,#N/A,FALSE,"Fil_A_Bestand";#N/A,#N/A,FALSE,"Fil_A_Zins";#N/A,#N/A,FALSE,"Fil_A_D-Zins";#N/A,#N/A,FALSE,"Fil_P_Bestand";#N/A,#N/A,FALSE,"Fil_P_Zins";#N/A,#N/A,FALSE,"Fil_P_Neu";#N/A,#N/A,FALSE,"Report 2";#N/A,#N/A,FALSE,"Report 3";#N/A,#N/A,FALSE,"Report 4";#N/A,#N/A,FALSE,"Report 5";#N/A,#N/A,FALSE,"Summary";#N/A,#N/A,FALSE,"Actual-Budget (kum)";#N/A,#N/A,FALSE,"Actual-Budget (per)";#N/A,#N/A,FALSE,"Comparison YTD";#N/A,#N/A,FALSE,"Headcount";#N/A,#N/A,FALSE,"Headcount2";#N/A,#N/A,FALSE,"Investitionsgüter";#N/A,#N/A,FALSE,"Konzern";#N/A,#N/A,FALSE,"stat.con.";#N/A,#N/A,FALSE,"Zusatz1";#N/A,#N/A,FALSE,"BIS 1";#N/A,#N/A,FALSE,"BIS-Assets";#N/A,#N/A,FALSE,"BIS 2"}</definedName>
    <definedName name="wrn.Gross._.to._.Net._.Reconciliations." hidden="1">{"Full Gross to Net",#N/A,TRUE,"GtoN";"R_I Accepted from Group Coys",#N/A,TRUE,"GtoN";"R_I Ceded to Group Coys",#N/A,TRUE,"GtoN";"Closing Loss Reserves and Gross Claims Incurred",#N/A,TRUE,"GtoN"}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onzept._.2." hidden="1">{#N/A,#N/A,FALSE,"Report 2";#N/A,#N/A,FALSE,"Report 3";#N/A,#N/A,FALSE,"Report 4";#N/A,#N/A,FALSE,"Report 5";#N/A,#N/A,FALSE,"Aktiv";#N/A,#N/A,FALSE,"Fil_A_Bestand";#N/A,#N/A,FALSE,"Fil_A_Zins";#N/A,#N/A,FALSE,"Fil_A_D-Zins";#N/A,#N/A,FALSE,"Passiv";#N/A,#N/A,FALSE,"Fil_P_Bestand";#N/A,#N/A,FALSE,"Fil_P_Zins";#N/A,#N/A,FALSE,"Fil_P_Neu";#N/A,#N/A,FALSE,"D-Bestand";#N/A,#N/A,FALSE,"D-Zins";#N/A,#N/A,FALSE,"peiodisch1";#N/A,#N/A,FALSE,"periodisch2";#N/A,#N/A,FALSE,"Finale1";#N/A,#N/A,FALSE,"Finale2";#N/A,#N/A,FALSE,"EWB-2";#N/A,#N/A,FALSE,"EWB";#N/A,#N/A,FALSE,"Headcount";#N/A,#N/A,FALSE,"Headcount2";#N/A,#N/A,FALSE,"Investitionsgüter";#N/A,#N/A,FALSE,"Konzern";#N/A,#N/A,FALSE,"BIS 2";#N/A,#N/A,FALSE,"BIS 1";#N/A,#N/A,FALSE,"Summary";#N/A,#N/A,FALSE,"Actual-Budget (kum)";#N/A,#N/A,FALSE,"Actual-Budget (per)";#N/A,#N/A,FALSE,"Comparison YTD";#N/A,#N/A,FALSE,"stat.con.";#N/A,#N/A,FALSE,"Zusatz1";#N/A,#N/A,FALSE,"BIS-Assets"}</definedName>
    <definedName name="wrn.Kosten." hidden="1">{#N/A,#N/A,FALSE,"KST 1";#N/A,#N/A,FALSE,"KST 2";#N/A,#N/A,FALSE,"KST 3";#N/A,#N/A,FALSE,"KST Gesamt";#N/A,#N/A,FALSE,"KST D1"}</definedName>
    <definedName name="wrn.Level._.4." hidden="1">{#N/A,#N/A,FALSE,"Income";#N/A,#N/A,FALSE,"EPS";#N/A,#N/A,FALSE,"Quarterly";#N/A,#N/A,FALSE,"CashFlow";#N/A,#N/A,FALSE,"Other";#N/A,#N/A,FALSE,"Dividend";#N/A,#N/A,FALSE,"Financials &amp; Ratios";#N/A,#N/A,FALSE,"Return On Equity";#N/A,#N/A,FALSE,"Inventory"}</definedName>
    <definedName name="wrn.LoanInformatio." localSheetId="6" hidden="1">{#N/A,#N/A,FALSE,"LoanAssumptions"}</definedName>
    <definedName name="wrn.LoanInformatio." localSheetId="5" hidden="1">{#N/A,#N/A,FALSE,"LoanAssumptions"}</definedName>
    <definedName name="wrn.LoanInformatio." hidden="1">{#N/A,#N/A,FALSE,"LoanAssumptions"}</definedName>
    <definedName name="wrn.LoanInformation." localSheetId="6" hidden="1">{#N/A,#N/A,FALSE,"LoanAssumptions"}</definedName>
    <definedName name="wrn.LoanInformation." localSheetId="5" hidden="1">{#N/A,#N/A,FALSE,"LoanAssumptions"}</definedName>
    <definedName name="wrn.LoanInformation." hidden="1">{#N/A,#N/A,FALSE,"LoanAssumptions"}</definedName>
    <definedName name="wrn.LoanInformation._1" hidden="1">{#N/A,#N/A,FALSE,"LoanAssumptions"}</definedName>
    <definedName name="wrn.lodging." localSheetId="6" hidden="1">{"p",#N/A,FALSE,"Sheet1";"p 2",#N/A,FALSE,"Sheet1";"p 3",#N/A,FALSE,"Sheet1"}</definedName>
    <definedName name="wrn.lodging." hidden="1">{"p",#N/A,FALSE,"Sheet1";"p 2",#N/A,FALSE,"Sheet1";"p 3",#N/A,FALSE,"Sheet1"}</definedName>
    <definedName name="wrn.lodging._1" hidden="1">{"p",#N/A,FALSE,"Sheet1";"p 2",#N/A,FALSE,"Sheet1";"p 3",#N/A,FALSE,"Sheet1"}</definedName>
    <definedName name="wrn.Logo._.Exchange._.and._.Overview." hidden="1">{"Logo",#N/A,FALSE,"Logo";"Exchange",#N/A,FALSE,"Logo";#N/A,#N/A,FALSE,"overview"}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lyRentRol." localSheetId="6" hidden="1">{"MonthlyRentRoll",#N/A,FALSE,"RentRoll"}</definedName>
    <definedName name="wrn.MonthlyRentRol." localSheetId="5" hidden="1">{"MonthlyRentRoll",#N/A,FALSE,"RentRoll"}</definedName>
    <definedName name="wrn.MonthlyRentRol." hidden="1">{"MonthlyRentRoll",#N/A,FALSE,"RentRoll"}</definedName>
    <definedName name="wrn.MonthlyRentRoll." localSheetId="6" hidden="1">{"MonthlyRentRoll",#N/A,FALSE,"RentRoll"}</definedName>
    <definedName name="wrn.MonthlyRentRoll." localSheetId="5" hidden="1">{"MonthlyRentRoll",#N/A,FALSE,"RentRoll"}</definedName>
    <definedName name="wrn.MonthlyRentRoll." hidden="1">{"MonthlyRentRoll",#N/A,FALSE,"RentRoll"}</definedName>
    <definedName name="wrn.MonthlyRentRoll._1" hidden="1">{"MonthlyRentRoll",#N/A,FALSE,"RentRoll"}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OperatingAssumptions." localSheetId="6" hidden="1">{#N/A,#N/A,FALSE,"OperatingAssumptions"}</definedName>
    <definedName name="wrn.OperatingAssumptions." localSheetId="5" hidden="1">{#N/A,#N/A,FALSE,"OperatingAssumptions"}</definedName>
    <definedName name="wrn.OperatingAssumptions." hidden="1">{#N/A,#N/A,FALSE,"OperatingAssumptions"}</definedName>
    <definedName name="wrn.OperatingAssumtions." localSheetId="6" hidden="1">{#N/A,#N/A,FALSE,"OperatingAssumptions"}</definedName>
    <definedName name="wrn.OperatingAssumtions." localSheetId="5" hidden="1">{#N/A,#N/A,FALSE,"OperatingAssumptions"}</definedName>
    <definedName name="wrn.OperatingAssumtions." hidden="1">{#N/A,#N/A,FALSE,"OperatingAssumptions"}</definedName>
    <definedName name="wrn.OperatingAssumtions._1" hidden="1">{#N/A,#N/A,FALSE,"OperatingAssumptions"}</definedName>
    <definedName name="wrn.Ops_S.Holders._.Assets_Income." hidden="1">{"Ops_S.Holders Assets and Income",#N/A,FALSE,"ops_shf"}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_L._.and._.Bal.._.Sheet.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arameter._.Review._.Report." localSheetId="6" hidden="1">{"Parameter Review Report",#N/A,FALSE,"C"}</definedName>
    <definedName name="wrn.Parameter._.Review._.Report." hidden="1">{"Parameter Review Report",#N/A,FALSE,"C"}</definedName>
    <definedName name="wrn.pond." localSheetId="6" hidden="1">{"pond1",#N/A,FALSE,"Focus";"pond2",#N/A,FALSE,"Focus"}</definedName>
    <definedName name="wrn.pond." localSheetId="5" hidden="1">{"pond1",#N/A,FALSE,"Focus";"pond2",#N/A,FALSE,"Focus"}</definedName>
    <definedName name="wrn.pond." hidden="1">{"pond1",#N/A,FALSE,"Focus";"pond2",#N/A,FALSE,"Focus"}</definedName>
    <definedName name="wrn.Presentatio." localSheetId="6" hidden="1">{#N/A,#N/A,TRUE,"Summary";"AnnualRentRoll",#N/A,TRUE,"RentRoll";#N/A,#N/A,TRUE,"ExitStratigy";#N/A,#N/A,TRUE,"OperatingAssumptions"}</definedName>
    <definedName name="wrn.Presentatio." localSheetId="5" hidden="1">{#N/A,#N/A,TRUE,"Summary";"AnnualRentRoll",#N/A,TRUE,"RentRoll";#N/A,#N/A,TRUE,"ExitStratigy";#N/A,#N/A,TRUE,"OperatingAssumptions"}</definedName>
    <definedName name="wrn.Presentatio." hidden="1">{#N/A,#N/A,TRUE,"Summary";"AnnualRentRoll",#N/A,TRUE,"RentRoll";#N/A,#N/A,TRUE,"ExitStratigy";#N/A,#N/A,TRUE,"OperatingAssumptions"}</definedName>
    <definedName name="wrn.Presentation." localSheetId="6" hidden="1">{#N/A,#N/A,TRUE,"Summary";"AnnualRentRoll",#N/A,TRUE,"RentRoll";#N/A,#N/A,TRUE,"ExitStratigy";#N/A,#N/A,TRUE,"OperatingAssumptions"}</definedName>
    <definedName name="wrn.Presentation." localSheetId="5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esentation._1" hidden="1">{#N/A,#N/A,TRUE,"Summary";"AnnualRentRoll",#N/A,TRUE,"RentRoll";#N/A,#N/A,TRUE,"ExitStratigy";#N/A,#N/A,TRUE,"OperatingAssumptions"}</definedName>
    <definedName name="wrn.PRINT." localSheetId="6" hidden="1">{"summary",#N/A,TRUE,"Focus";"interestexpense",#N/A,TRUE,"Focus";"interestincome",#N/A,TRUE,"Focus";"dividend",#N/A,TRUE,"Focus";"feeincome",#N/A,TRUE,"Focus";"gain",#N/A,TRUE,"Focus"}</definedName>
    <definedName name="wrn.PRINT." localSheetId="5" hidden="1">{"summary",#N/A,TRUE,"Focus";"interestexpense",#N/A,TRUE,"Focus";"interestincome",#N/A,TRUE,"Focus";"dividend",#N/A,TRUE,"Focus";"feeincome",#N/A,TRUE,"Focus";"gain",#N/A,TRUE,"Focus"}</definedName>
    <definedName name="wrn.PRINT." hidden="1">{"summary",#N/A,TRUE,"Focus";"interestexpense",#N/A,TRUE,"Focus";"interestincome",#N/A,TRUE,"Focus";"dividend",#N/A,TRUE,"Focus";"feeincome",#N/A,TRUE,"Focus";"gain",#N/A,TRUE,"Focus"}</definedName>
    <definedName name="wrn.Print._.Full." localSheetId="6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localSheetId="5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localSheetId="6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localSheetId="5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Lodging._.Only." localSheetId="6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localSheetId="5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1" hidden="1">{"page1",#N/A,FALSE,"Sheet1";"page2",#N/A,FALSE,"Sheet1"}</definedName>
    <definedName name="wrn.Print_CSC." hidden="1">{"CSC_1",#N/A,FALSE,"CSC Outputs";"CSC_2",#N/A,FALSE,"CSC Outputs"}</definedName>
    <definedName name="wrn.PropertyInformatio." localSheetId="6" hidden="1">{#N/A,#N/A,FALSE,"PropertyInfo"}</definedName>
    <definedName name="wrn.PropertyInformatio." localSheetId="5" hidden="1">{#N/A,#N/A,FALSE,"PropertyInfo"}</definedName>
    <definedName name="wrn.PropertyInformatio." hidden="1">{#N/A,#N/A,FALSE,"PropertyInfo"}</definedName>
    <definedName name="wrn.PropertyInformation." localSheetId="6" hidden="1">{#N/A,#N/A,FALSE,"PropertyInfo"}</definedName>
    <definedName name="wrn.PropertyInformation." localSheetId="5" hidden="1">{#N/A,#N/A,FALSE,"PropertyInfo"}</definedName>
    <definedName name="wrn.PropertyInformation." hidden="1">{#N/A,#N/A,FALSE,"PropertyInfo"}</definedName>
    <definedName name="wrn.PropertyInformation._1" hidden="1">{#N/A,#N/A,FALSE,"PropertyInfo"}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RECONCILIATION." localSheetId="6" hidden="1">{"REC1",#N/A,FALSE,"Focus";"REC2",#N/A,FALSE,"Focus";"REC3",#N/A,FALSE,"Focus";"REC4",#N/A,FALSE,"Focus"}</definedName>
    <definedName name="wrn.RECONCILIATION." localSheetId="5" hidden="1">{"REC1",#N/A,FALSE,"Focus";"REC2",#N/A,FALSE,"Focus";"REC3",#N/A,FALSE,"Focus";"REC4",#N/A,FALSE,"Focus"}</definedName>
    <definedName name="wrn.RECONCILIATION." hidden="1">{"REC1",#N/A,FALSE,"Focus";"REC2",#N/A,FALSE,"Focus";"REC3",#N/A,FALSE,"Focus";"REC4",#N/A,FALSE,"Focus"}</definedName>
    <definedName name="wrn.residential." hidden="1">{#N/A,#N/A,FALSE,"matx (int)";#N/A,#N/A,FALSE,"summ (a)";#N/A,#N/A,FALSE,"assump (b)";#N/A,#N/A,FALSE,"detail (c)";#N/A,#N/A,FALSE,"hist (d)";#N/A,#N/A,FALSE,"capex (e)";#N/A,#N/A,FALSE,"tax (f)";#N/A,#N/A,FALSE,"incr98 (g)";#N/A,#N/A,FALSE,"rentcalc (h)";#N/A,#N/A,FALSE,"rentjan (i)";#N/A,#N/A,FALSE,"markrent (j)";#N/A,#N/A,FALSE,"mciwind (k)";#N/A,#N/A,FALSE,"mciroof (l)";#N/A,#N/A,FALSE,"j51roof (m)"}</definedName>
    <definedName name="wrn.Restbericht." hidden="1">{#N/A,#N/A,FALSE,"DATA";#N/A,#N/A,FALSE,"BS";#N/A,#N/A,FALSE,"P&amp;L";#N/A,#N/A,FALSE,"stat.con.";#N/A,#N/A,FALSE,"Average";#N/A,#N/A,FALSE,"Zusatz1";#N/A,#N/A,FALSE,"Konzern";#N/A,#N/A,FALSE,"BIS 1";#N/A,#N/A,FALSE,"BIS-Assets";#N/A,#N/A,FALSE,"BIS 2"}</definedName>
    <definedName name="wrn.ReWemtl." hidden="1">{"werbung",#N/A,FALSE,"GuV9900-0399";"betrieb",#N/A,FALSE,"GuV9900-0399";"personal",#N/A,FALSE,"GuV9900-0399";"tvg",#N/A,FALSE,"GuV9900-0399";"verwaltung",#N/A,FALSE,"GuV9900-0399"}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ensitivity._.analyses." hidden="1">{"general",#N/A,FALSE,"Assumptions"}</definedName>
    <definedName name="wrn.stand_alone." hidden="1">{#N/A,#N/A,FALSE,"CBE";#N/A,#N/A,FALSE,"SWK"}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ummar." localSheetId="6" hidden="1">{#N/A,#N/A,FALSE,"Summary"}</definedName>
    <definedName name="wrn.Summar." localSheetId="5" hidden="1">{#N/A,#N/A,FALSE,"Summary"}</definedName>
    <definedName name="wrn.Summar." hidden="1">{#N/A,#N/A,FALSE,"Summary"}</definedName>
    <definedName name="wrn.Summary." localSheetId="6" hidden="1">{#N/A,#N/A,FALSE,"Summary"}</definedName>
    <definedName name="wrn.Summary." localSheetId="5" hidden="1">{#N/A,#N/A,FALSE,"Summary"}</definedName>
    <definedName name="wrn.Summary." hidden="1">{#N/A,#N/A,FALSE,"Summary"}</definedName>
    <definedName name="wrn.Summary._1" hidden="1">{#N/A,#N/A,FALSE,"Summary"}</definedName>
    <definedName name="wrn.Supplementary._.Info." hidden="1">{"Audit and Pension Costs",#N/A,FALSE,"Supp";"Interest Paid and Loans",#N/A,FALSE,"Supp";"Details of Assoc. Coys.",#N/A,FALSE,"Supp"}</definedName>
    <definedName name="wrn.Support._.Data.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test." hidden="1">{#N/A,#N/A,FALSE,"Ecarts sur Prévisions";#N/A,#N/A,FALSE,"TB Métier"}</definedName>
    <definedName name="wrn.test.2" hidden="1">{#N/A,#N/A,FALSE,"Calculator"}</definedName>
    <definedName name="wrn.test.2a" hidden="1">{#N/A,#N/A,FALSE,"Calculator"}</definedName>
    <definedName name="wrn.test1" hidden="1">{#N/A,#N/A,FALSE,"Calculator"}</definedName>
    <definedName name="wrn.test1." hidden="1">{#N/A,#N/A,FALSE,"Calculator"}</definedName>
    <definedName name="wrn.test11" hidden="1">{#N/A,#N/A,FALSE,"Calculator"}</definedName>
    <definedName name="wrn.test11." hidden="1">{#N/A,#N/A,FALSE,"Calculator"}</definedName>
    <definedName name="wrn.test11a" hidden="1">{#N/A,#N/A,FALSE,"Calculator"}</definedName>
    <definedName name="wrn.test11aa." hidden="1">{#N/A,#N/A,FALSE,"Calculator"}</definedName>
    <definedName name="wrn.test1a." hidden="1">{#N/A,#N/A,FALSE,"Calculator"}</definedName>
    <definedName name="wrn.test1a1" hidden="1">{#N/A,#N/A,FALSE,"Calculator"}</definedName>
    <definedName name="wrn.test1a1." hidden="1">{#N/A,#N/A,FALSE,"Calculator"}</definedName>
    <definedName name="wrn.test2" hidden="1">{#N/A,#N/A,FALSE,"Calculator"}</definedName>
    <definedName name="wrn.test21" hidden="1">{#N/A,#N/A,FALSE,"Calculator"}</definedName>
    <definedName name="wrn.test21b" hidden="1">{#N/A,#N/A,FALSE,"Calculator"}</definedName>
    <definedName name="wrn.test2a" hidden="1">{#N/A,#N/A,FALSE,"Calculator"}</definedName>
    <definedName name="wrn.test2a1" hidden="1">{#N/A,#N/A,FALSE,"Calculator"}</definedName>
    <definedName name="wrn.test3" hidden="1">{#N/A,#N/A,FALSE,"Calculator"}</definedName>
    <definedName name="wrn.test31" hidden="1">{#N/A,#N/A,FALSE,"Calculator"}</definedName>
    <definedName name="wrn.test31a" hidden="1">{#N/A,#N/A,FALSE,"Calculator"}</definedName>
    <definedName name="wrn.test3a" hidden="1">{#N/A,#N/A,FALSE,"Calculator"}</definedName>
    <definedName name="wrn.test3b" hidden="1">{#N/A,#N/A,FALSE,"Calculator"}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orstand." hidden="1">{#N/A,#N/A,FALSE,"Report 2";#N/A,#N/A,FALSE,"Report 3";#N/A,#N/A,FALSE,"Report 4";#N/A,#N/A,FALSE,"Actual-Budget (per)";#N/A,#N/A,FALSE,"Actual-Budget (kum)";#N/A,#N/A,FALSE,"Comparison YTD";#N/A,#N/A,FALSE,"Summary";#N/A,#N/A,FALSE,"Aktiv";#N/A,#N/A,FALSE,"Passiv";#N/A,#N/A,FALSE,"peiodisch1";#N/A,#N/A,FALSE,"periodisch2";#N/A,#N/A,FALSE,"Finale1";#N/A,#N/A,FALSE,"Finale2";#N/A,#N/A,FALSE,"D-Bestand";#N/A,#N/A,FALSE,"D-Zins";#N/A,#N/A,FALSE,"Fil_A_Bestand";#N/A,#N/A,FALSE,"Fil_A_D-Zins";#N/A,#N/A,FALSE,"Fil_A_Zins";#N/A,#N/A,FALSE,"Fil_P_Bestand";#N/A,#N/A,FALSE,"Fil_P_Neu";#N/A,#N/A,FALSE,"Fil_P_Zins";#N/A,#N/A,FALSE,"Report 5";#N/A,#N/A,FALSE,"EWB-2";#N/A,#N/A,FALSE,"EWB";#N/A,#N/A,FALSE,"Headcount";#N/A,#N/A,FALSE,"Headcount2";#N/A,#N/A,FALSE,"Investitionsgüter"}</definedName>
    <definedName name="wrn.Weißrock." hidden="1">{#N/A,#N/A,FALSE,"Finale1";#N/A,#N/A,FALSE,"Finale2";#N/A,#N/A,FALSE,"peiodisch1";#N/A,#N/A,FALSE,"periodisch2";#N/A,#N/A,FALSE,"Aktiv";#N/A,#N/A,FALSE,"Passiv";#N/A,#N/A,FALSE,"D-Bestand";#N/A,#N/A,FALSE,"D-Zins"}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Zinsen." hidden="1">{#N/A,#N/A,FALSE,"peiodisch1";#N/A,#N/A,FALSE,"D-Bestand";#N/A,#N/A,FALSE,"D-Zins"}</definedName>
    <definedName name="wrn.ｱﾛｰ." localSheetId="6" hidden="1">{"Actual",#N/A,FALSE,"(価格)";"Market",#N/A,FALSE,"(価格)";"Plan",#N/A,FALSE,"(価格)"}</definedName>
    <definedName name="wrn.ｱﾛｰ." localSheetId="5" hidden="1">{"Actual",#N/A,FALSE,"(価格)";"Market",#N/A,FALSE,"(価格)";"Plan",#N/A,FALSE,"(価格)"}</definedName>
    <definedName name="wrn.ｱﾛｰ." hidden="1">{"Actual",#N/A,FALSE,"(価格)";"Market",#N/A,FALSE,"(価格)";"Plan",#N/A,FALSE,"(価格)"}</definedName>
    <definedName name="wrn.グラフ." hidden="1">{"グラフ",#N/A,FALSE,"全社実績月次推移"}</definedName>
    <definedName name="wrn.ｹﾝﾄ." localSheetId="6" hidden="1">{"ｹﾝﾄ（M)",#N/A,FALSE,"収支・日割";"ｹﾝﾄ（RD)",#N/A,FALSE,"収支・日割";"ｹﾝﾄ（PMC)",#N/A,FALSE,"収支・日割"}</definedName>
    <definedName name="wrn.ｹﾝﾄ." localSheetId="5" hidden="1">{"ｹﾝﾄ（M)",#N/A,FALSE,"収支・日割";"ｹﾝﾄ（RD)",#N/A,FALSE,"収支・日割";"ｹﾝﾄ（PMC)",#N/A,FALSE,"収支・日割"}</definedName>
    <definedName name="wrn.ｹﾝﾄ." hidden="1">{"ｹﾝﾄ（M)",#N/A,FALSE,"収支・日割";"ｹﾝﾄ（RD)",#N/A,FALSE,"収支・日割";"ｹﾝﾄ（PMC)",#N/A,FALSE,"収支・日割"}</definedName>
    <definedName name="wrn.テスト." localSheetId="6" hidden="1">{"賃貸事例比較法",#N/A,FALSE,"Sheet2";"賃貸条件",#N/A,FALSE,"Sheet2"}</definedName>
    <definedName name="wrn.テスト." hidden="1">{"賃貸事例比較法",#N/A,FALSE,"Sheet2";"賃貸条件",#N/A,FALSE,"Sheet2"}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月次." hidden="1">{"グラフ",#N/A,FALSE,"全社実績月次推移"}</definedName>
    <definedName name="wrn.대차._.대조표." hidden="1">{#N/A,#N/A,TRUE,"대 차 대 조 표"}</definedName>
    <definedName name="wrn.重説." localSheetId="6" hidden="1">{#N/A,#N/A,FALSE,"１";#N/A,#N/A,FALSE,"２";#N/A,#N/A,FALSE,"３";#N/A,#N/A,FALSE,"４"}</definedName>
    <definedName name="wrn.重説." localSheetId="5" hidden="1">{#N/A,#N/A,FALSE,"１";#N/A,#N/A,FALSE,"２";#N/A,#N/A,FALSE,"３";#N/A,#N/A,FALSE,"４"}</definedName>
    <definedName name="wrn.重説." hidden="1">{#N/A,#N/A,FALSE,"１";#N/A,#N/A,FALSE,"２";#N/A,#N/A,FALSE,"３";#N/A,#N/A,FALSE,"４"}</definedName>
    <definedName name="wrn.千代田地価調査収益価格." hidden="1">{#N/A,#N/A,FALSE,"5-1";#N/A,#N/A,FALSE,"5-2";#N/A,#N/A,FALSE,"5-6";#N/A,#N/A,FALSE,"5-9";#N/A,#N/A,FALSE,"5-15";#N/A,#N/A,FALSE,"5-32";#N/A,#N/A,FALSE,"5-34"}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報告書." hidden="1">{"報告書",#N/A,FALSE,"報告書";"承諾書",#N/A,FALSE,"工事承諾書";#N/A,#N/A,FALSE,"承認書"}</definedName>
    <definedName name="wrn.本部付き." hidden="1">{#N/A,#N/A,FALSE,"本部経費 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2.Document" hidden="1">{"consolidated",#N/A,FALSE,"Sheet1";"cms",#N/A,FALSE,"Sheet1";"fse",#N/A,FALSE,"Sheet1"}</definedName>
    <definedName name="wrwr" hidden="1">{"ｹﾝﾄ（M)",#N/A,FALSE,"収支・日割";"ｹﾝﾄ（RD)",#N/A,FALSE,"収支・日割";"ｹﾝﾄ（PMC)",#N/A,FALSE,"収支・日割"}</definedName>
    <definedName name="wvu.LEVEL." hidden="1">{TRUE,TRUE,-1.25,-15.5,604.5,345.75,FALSE,TRUE,TRUE,FALSE,0,1,35,1,123,3,3,4,TRUE,TRUE,3,TRUE,1,TRUE,100,"Swvu.LEVEL.","ACwvu.LEVEL.",#N/A,FALSE,FALSE,0.75,0.75,1,1,1,"&amp;A","Page &amp;P",FALSE,FALSE,FALSE,TRUE,1,100,#N/A,#N/A,FALSE,FALSE,"Rwvu.LEVEL.",#N/A,FALSE,FALSE,TRUE,9,300,300,FALSE,FALSE,TRUE,TRUE,TRUE}</definedName>
    <definedName name="www11c" hidden="1">{#N/A,#N/A,FALSE,"Calculator"}</definedName>
    <definedName name="www1a" hidden="1">{#N/A,#N/A,FALSE,"Calculator"}</definedName>
    <definedName name="wwww" localSheetId="6" hidden="1">{"MonthlyRentRoll",#N/A,FALSE,"RentRoll"}</definedName>
    <definedName name="wwww" localSheetId="5" hidden="1">{"MonthlyRentRoll",#N/A,FALSE,"RentRoll"}</definedName>
    <definedName name="wwww" hidden="1">{"MonthlyRentRoll",#N/A,FALSE,"RentRoll"}</definedName>
    <definedName name="xaxaswq" localSheetId="6" hidden="1">{"AnnualRentRoll",#N/A,FALSE,"RentRoll"}</definedName>
    <definedName name="xaxaswq" localSheetId="5" hidden="1">{"AnnualRentRoll",#N/A,FALSE,"RentRoll"}</definedName>
    <definedName name="xaxaswq" hidden="1">{"AnnualRentRoll",#N/A,FALSE,"RentRoll"}</definedName>
    <definedName name="XRefColumnsCount" hidden="1">7</definedName>
    <definedName name="XRefCopy1Row" hidden="1">#REF!</definedName>
    <definedName name="XRefCopy2Row" hidden="1">#REF!</definedName>
    <definedName name="XRefCopyRangeCount" hidden="1">6</definedName>
    <definedName name="XRefPaste1Row" hidden="1">#REF!</definedName>
    <definedName name="XRefPaste2" hidden="1">#REF!</definedName>
    <definedName name="XRefPaste2Row" hidden="1">#REF!</definedName>
    <definedName name="XRefPasteRangeCount" hidden="1">6</definedName>
    <definedName name="xxppo" localSheetId="6" hidden="1">{"AnnualRentRoll",#N/A,FALSE,"RentRoll"}</definedName>
    <definedName name="xxppo" localSheetId="5" hidden="1">{"AnnualRentRoll",#N/A,FALSE,"RentRoll"}</definedName>
    <definedName name="xxppo" hidden="1">{"AnnualRentRoll",#N/A,FALSE,"RentRoll"}</definedName>
    <definedName name="xxx" hidden="1">#REF!</definedName>
    <definedName name="xxxx" hidden="1">#REF!</definedName>
    <definedName name="xxxxx" hidden="1">#REF!</definedName>
    <definedName name="xyz" hidden="1">{"werbung",#N/A,FALSE,"GuV9900-0399";"betrieb",#N/A,FALSE,"GuV9900-0399";"personal",#N/A,FALSE,"GuV9900-0399";"tvg",#N/A,FALSE,"GuV9900-0399";"verwaltung",#N/A,FALSE,"GuV9900-0399"}</definedName>
    <definedName name="y" localSheetId="6" hidden="1">{#N/A,#N/A,FALSE,"LoanAssumptions"}</definedName>
    <definedName name="y" localSheetId="5" hidden="1">{#N/A,#N/A,FALSE,"LoanAssumptions"}</definedName>
    <definedName name="y" hidden="1">{#N/A,#N/A,FALSE,"LoanAssumptions"}</definedName>
    <definedName name="yt" localSheetId="6" hidden="1">{"AnnualRentRoll",#N/A,FALSE,"RentRoll"}</definedName>
    <definedName name="yt" localSheetId="5" hidden="1">{"AnnualRentRoll",#N/A,FALSE,"RentRoll"}</definedName>
    <definedName name="yt" hidden="1">{"AnnualRentRoll",#N/A,FALSE,"RentRoll"}</definedName>
    <definedName name="yyy" hidden="1">{"グラフ",#N/A,FALSE,"全社実績月次推移"}</definedName>
    <definedName name="yyyyy" hidden="1">{"グラフ",#N/A,FALSE,"全社実績月次推移"}</definedName>
    <definedName name="Z_21DEEFFA_34AF_41DB_ACF5_A23148CF199A_.wvu.Cols" hidden="1">#REF!</definedName>
    <definedName name="Z_21DEEFFA_34AF_41DB_ACF5_A23148CF199A_.wvu.Rows" hidden="1">#REF!,#REF!,#REF!,#REF!,#REF!</definedName>
    <definedName name="Z_2923B48A_FE4B_449A_B226_D61C8684D271_.wvu.FilterData" hidden="1">#REF!</definedName>
    <definedName name="Z_EDEB2A80_9BCD_11D4_A1C2_00508B03B68A_.wvu.Cols" localSheetId="5" hidden="1">#REF!,#REF!,#REF!,#REF!,#REF!,#REF!,#REF!,#REF!</definedName>
    <definedName name="Z_EDEB2A80_9BCD_11D4_A1C2_00508B03B68A_.wvu.Cols" hidden="1">#REF!,#REF!,#REF!,#REF!,#REF!,#REF!,#REF!,#REF!</definedName>
    <definedName name="zxc" localSheetId="6" hidden="1">{"AnnualRentRoll",#N/A,FALSE,"RentRoll"}</definedName>
    <definedName name="zxc" localSheetId="5" hidden="1">{"AnnualRentRoll",#N/A,FALSE,"RentRoll"}</definedName>
    <definedName name="zxc" hidden="1">{"AnnualRentRoll",#N/A,FALSE,"RentRoll"}</definedName>
    <definedName name="zxsa" localSheetId="6" hidden="1">{"AnnualRentRoll",#N/A,FALSE,"RentRoll"}</definedName>
    <definedName name="zxsa" localSheetId="5" hidden="1">{"AnnualRentRoll",#N/A,FALSE,"RentRoll"}</definedName>
    <definedName name="zxsa" hidden="1">{"AnnualRentRoll",#N/A,FALSE,"RentRoll"}</definedName>
    <definedName name="ＺＸＺＸ" hidden="1">{"グラフ",#N/A,FALSE,"全社実績月次推移"}</definedName>
    <definedName name="zy" hidden="1">{"'下期集計（10.27迄・速報値）'!$Q$16"}</definedName>
    <definedName name="zzzdddd" hidden="1">{"AnnualRentRoll",#N/A,FALSE,"RentRoll"}</definedName>
    <definedName name="ぁ" hidden="1">{"'下期集計（10.27迄・速報値）'!$Q$16"}</definedName>
    <definedName name="あｓ" hidden="1">#REF!</definedName>
    <definedName name="あさＳ" hidden="1">{"グラフ",#N/A,FALSE,"全社実績月次推移"}</definedName>
    <definedName name="いいい" hidden="1">#REF!</definedName>
    <definedName name="いいいい" hidden="1">#REF!</definedName>
    <definedName name="おおお" hidden="1">#REF!</definedName>
    <definedName name="がががが" hidden="1">{#N/A,#N/A,FALSE,"ExitStratigy"}</definedName>
    <definedName name="サマリーレポート２" localSheetId="5" hidden="1">#REF!,#REF!,#REF!,#REF!,#REF!,#REF!,#REF!,#REF!</definedName>
    <definedName name="サマリーレポート２" hidden="1">#REF!,#REF!,#REF!,#REF!,#REF!,#REF!,#REF!,#REF!</definedName>
    <definedName name="ｻﾝｸﾞﾚｰﾙ" hidden="1">{"AnnualRentRoll",#N/A,FALSE,"RentRoll"}</definedName>
    <definedName name="ｼｰﾄ" hidden="1">#REF!</definedName>
    <definedName name="っｄ" hidden="1">{"'今後解決すべき点'!$M$26","'今後解決すべき点'!$A$1:$M$55"}</definedName>
    <definedName name="っっｓ" hidden="1">{#N/A,#N/A,FALSE,"LoanAssumptions"}</definedName>
    <definedName name="ててて" hidden="1">{#N/A,#N/A,FALSE,"１";#N/A,#N/A,FALSE,"２";#N/A,#N/A,FALSE,"３";#N/A,#N/A,FALSE,"４"}</definedName>
    <definedName name="とりあえず" localSheetId="6" hidden="1">#REF!</definedName>
    <definedName name="とりあえず" localSheetId="5" hidden="1">#REF!</definedName>
    <definedName name="とりあえず" hidden="1">#REF!</definedName>
    <definedName name="ナイス小石川" localSheetId="6" hidden="1">{"ｹﾝﾄ（M)",#N/A,FALSE,"収支・日割";"ｹﾝﾄ（RD)",#N/A,FALSE,"収支・日割";"ｹﾝﾄ（PMC)",#N/A,FALSE,"収支・日割"}</definedName>
    <definedName name="ナイス小石川" hidden="1">{"ｹﾝﾄ（M)",#N/A,FALSE,"収支・日割";"ｹﾝﾄ（RD)",#N/A,FALSE,"収支・日割";"ｹﾝﾄ（PMC)",#N/A,FALSE,"収支・日割"}</definedName>
    <definedName name="なんで" hidden="1">{"'下期集計（10.27迄・速報値）'!$Q$16"}</definedName>
    <definedName name="なんなの" hidden="1">{"'下期集計（10.27迄・速報値）'!$Q$16"}</definedName>
    <definedName name="ヒアリング" hidden="1">{"Actual",#N/A,FALSE,"(価格)";"Market",#N/A,FALSE,"(価格)";"Plan",#N/A,FALSE,"(価格)"}</definedName>
    <definedName name="ヒアリング1" hidden="1">{"Actual",#N/A,FALSE,"(価格)";"Market",#N/A,FALSE,"(価格)";"Plan",#N/A,FALSE,"(価格)"}</definedName>
    <definedName name="ラック搭載図２" localSheetId="6" hidden="1">{"'フローチャート'!$A$1:$AO$191"}</definedName>
    <definedName name="ラック搭載図２" hidden="1">{"'フローチャート'!$A$1:$AO$191"}</definedName>
    <definedName name="リース" hidden="1">{"Actual",#N/A,FALSE,"(価格)";"Market",#N/A,FALSE,"(価格)";"Plan",#N/A,FALSE,"(価格)"}</definedName>
    <definedName name="ルネ日本橋" localSheetId="6" hidden="1">#REF!</definedName>
    <definedName name="ルネ日本橋" localSheetId="5" hidden="1">#REF!</definedName>
    <definedName name="ルネ日本橋" hidden="1">#REF!</definedName>
    <definedName name="れ" hidden="1">{"REC1",#N/A,FALSE,"Focus";"REC2",#N/A,FALSE,"Focus";"REC3",#N/A,FALSE,"Focus";"REC4",#N/A,FALSE,"Focus"}</definedName>
    <definedName name="れああｇれ" hidden="1">{#N/A,#N/A,FALSE,"5-1";#N/A,#N/A,FALSE,"5-2";#N/A,#N/A,FALSE,"5-6";#N/A,#N/A,FALSE,"5-9";#N/A,#N/A,FALSE,"5-15";#N/A,#N/A,FALSE,"5-32";#N/A,#N/A,FALSE,"5-34"}</definedName>
    <definedName name="レポート" hidden="1">#N/A</definedName>
    <definedName name="伊藤忠コムネット" hidden="1">{"Actual",#N/A,FALSE,"(価格)";"Market",#N/A,FALSE,"(価格)";"Plan",#N/A,FALSE,"(価格)"}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宇都宮第２" hidden="1">{"ｹﾝﾄ（M)",#N/A,FALSE,"収支・日割";"ｹﾝﾄ（RD)",#N/A,FALSE,"収支・日割";"ｹﾝﾄ（PMC)",#N/A,FALSE,"収支・日割"}</definedName>
    <definedName name="仮ファイル" hidden="1">{"'七日町'!$H$56:$I$56"}</definedName>
    <definedName name="開発PC用ソフト" localSheetId="6" hidden="1">{"'フローチャート'!$A$1:$AO$191"}</definedName>
    <definedName name="開発PC用ソフト" hidden="1">{"'フローチャート'!$A$1:$AO$191"}</definedName>
    <definedName name="各物件表紙" hidden="1">{"'今後解決すべき点'!$M$26","'今後解決すべき点'!$A$1:$M$55"}</definedName>
    <definedName name="監査指摘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監視サーバ" localSheetId="6" hidden="1">{"'フローチャート'!$A$1:$AO$191"}</definedName>
    <definedName name="監視サーバ" hidden="1">{"'フローチャート'!$A$1:$AO$191"}</definedName>
    <definedName name="関係契約一覧" hidden="1">{#N/A,#N/A,FALSE,"１";#N/A,#N/A,FALSE,"２";#N/A,#N/A,FALSE,"３";#N/A,#N/A,FALSE,"４"}</definedName>
    <definedName name="関連表" hidden="1">#REF!</definedName>
    <definedName name="岩見沢" hidden="1">{"'七日町'!$H$56:$I$56"}</definedName>
    <definedName name="宮崎" hidden="1">{#N/A,#N/A,FALSE,"ExitStratigy"}</definedName>
    <definedName name="金利体系" hidden="1">{"'下期集計（10.27迄・速報値）'!$Q$16"}</definedName>
    <definedName name="九段南" hidden="1">{"Actual",#N/A,FALSE,"(価格)";"Market",#N/A,FALSE,"(価格)";"Plan",#N/A,FALSE,"(価格)"}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ㄷㄷㄷㄷㄷ" hidden="1">{#N/A,#N/A,FALSE,"동부"}</definedName>
    <definedName name="建物管理レポート" hidden="1">{#N/A,#N/A,FALSE,"１";#N/A,#N/A,FALSE,"２";#N/A,#N/A,FALSE,"３";#N/A,#N/A,FALSE,"４"}</definedName>
    <definedName name="検討率" hidden="1">#REF!</definedName>
    <definedName name="대구200203빌딩별임차현황" hidden="1">{#N/A,#N/A,FALSE,"동부"}</definedName>
    <definedName name="대구200207" hidden="1">{#N/A,#N/A,FALSE,"동부"}</definedName>
    <definedName name="대구대구" hidden="1">{#N/A,#N/A,FALSE,"동부"}</definedName>
    <definedName name="元" localSheetId="6" hidden="1">#REF!</definedName>
    <definedName name="元" localSheetId="5" hidden="1">#REF!</definedName>
    <definedName name="元" hidden="1">#REF!</definedName>
    <definedName name="固都税支払" hidden="1">{"MonthlyRentRoll",#N/A,FALSE,"RentRoll"}</definedName>
    <definedName name="再" hidden="1">{"summary",#N/A,TRUE,"Focus";"interestexpense",#N/A,TRUE,"Focus";"interestincome",#N/A,TRUE,"Focus";"dividend",#N/A,TRUE,"Focus";"feeincome",#N/A,TRUE,"Focus";"gain",#N/A,TRUE,"Focus"}</definedName>
    <definedName name="材料土地" hidden="1">1</definedName>
    <definedName name="作業中" hidden="1">{"summary",#N/A,TRUE,"Focus";"interestexpense",#N/A,TRUE,"Focus";"interestincome",#N/A,TRUE,"Focus";"dividend",#N/A,TRUE,"Focus";"feeincome",#N/A,TRUE,"Focus";"gain",#N/A,TRUE,"Focus"}</definedName>
    <definedName name="三茶１０１７" hidden="1">{#N/A,#N/A,FALSE,"１";#N/A,#N/A,FALSE,"２";#N/A,#N/A,FALSE,"３";#N/A,#N/A,FALSE,"４"}</definedName>
    <definedName name="三茶PK1017" hidden="1">{"Actual",#N/A,FALSE,"(価格)";"Market",#N/A,FALSE,"(価格)";"Plan",#N/A,FALSE,"(価格)"}</definedName>
    <definedName name="事業計画" hidden="1">{"pond1",#N/A,FALSE,"Focus";"pond2",#N/A,FALSE,"Focus"}</definedName>
    <definedName name="受託dat" hidden="1">#REF!</definedName>
    <definedName name="収支" hidden="1">{"Actual",#N/A,FALSE,"(価格)";"Market",#N/A,FALSE,"(価格)";"Plan",#N/A,FALSE,"(価格)"}</definedName>
    <definedName name="収支２" hidden="1">{"ｹﾝﾄ（M)",#N/A,FALSE,"収支・日割";"ｹﾝﾄ（RD)",#N/A,FALSE,"収支・日割";"ｹﾝﾄ（PMC)",#N/A,FALSE,"収支・日割"}</definedName>
    <definedName name="収支表" hidden="1">{"ｹﾝﾄ（M)",#N/A,FALSE,"収支・日割";"ｹﾝﾄ（RD)",#N/A,FALSE,"収支・日割";"ｹﾝﾄ（PMC)",#N/A,FALSE,"収支・日割"}</definedName>
    <definedName name="出資金" hidden="1">{"MonthlyRentRoll",#N/A,FALSE,"RentRoll"}</definedName>
    <definedName name="小石川" localSheetId="6" hidden="1">{#N/A,#N/A,FALSE,"１";#N/A,#N/A,FALSE,"２";#N/A,#N/A,FALSE,"３";#N/A,#N/A,FALSE,"４"}</definedName>
    <definedName name="小石川" hidden="1">{#N/A,#N/A,FALSE,"１";#N/A,#N/A,FALSE,"２";#N/A,#N/A,FALSE,"３";#N/A,#N/A,FALSE,"４"}</definedName>
    <definedName name="信託" hidden="1">{"summary",#N/A,TRUE,"Focus";"interestexpense",#N/A,TRUE,"Focus";"interestincome",#N/A,TRUE,"Focus";"dividend",#N/A,TRUE,"Focus";"feeincome",#N/A,TRUE,"Focus";"gain",#N/A,TRUE,"Focus"}</definedName>
    <definedName name="新規テナント保証金明細" hidden="1">{"gain",#N/A,FALSE,"Focus"}</definedName>
    <definedName name="新橋" hidden="1">{"'今後解決すべき点'!$M$26","'今後解決すべき点'!$A$1:$M$55"}</definedName>
    <definedName name="新橋CAPEX" hidden="1">{"'今後解決すべき点'!$M$26","'今後解決すべき点'!$A$1:$M$55"}</definedName>
    <definedName name="水道光熱費" hidden="1">{"pond1",#N/A,FALSE,"Focus";"pond2",#N/A,FALSE,"Focus"}</definedName>
    <definedName name="雪月花ＰＬ詳細" hidden="1">{#N/A,#N/A,FALSE,"本部経費 "}</definedName>
    <definedName name="全社部門目標" hidden="1">#REF!</definedName>
    <definedName name="体制図２" localSheetId="6" hidden="1">{"'フローチャート'!$A$1:$AO$191"}</definedName>
    <definedName name="体制図２" hidden="1">{"'フローチャート'!$A$1:$AO$191"}</definedName>
    <definedName name="大塚" hidden="1">{"Actual",#N/A,FALSE,"(価格)";"Market",#N/A,FALSE,"(価格)";"Plan",#N/A,FALSE,"(価格)"}</definedName>
    <definedName name="中項目表紙" hidden="1">{"'今後解決すべき点'!$M$26","'今後解決すべき点'!$A$1:$M$55"}</definedName>
    <definedName name="南麻布" hidden="1">{"Actual",#N/A,FALSE,"(価格)";"Market",#N/A,FALSE,"(価格)";"Plan",#N/A,FALSE,"(価格)"}</definedName>
    <definedName name="入金明細" hidden="1">{"pond1",#N/A,FALSE,"Focus";"pond2",#N/A,FALSE,"Focus"}</definedName>
    <definedName name="入力済" hidden="1">{"MonthlyRentRoll",#N/A,FALSE,"RentRoll"}</definedName>
    <definedName name="年間事業計画" hidden="1">{"pond1",#N/A,FALSE,"Focus";"pond2",#N/A,FALSE,"Focus"}</definedName>
    <definedName name="売買マーケットEng" hidden="1">{"AnnualRentRoll",#N/A,FALSE,"RentRoll"}</definedName>
    <definedName name="八王子中町" localSheetId="6" hidden="1">#REF!</definedName>
    <definedName name="八王子中町" localSheetId="5" hidden="1">#REF!</definedName>
    <definedName name="八王子中町" hidden="1">#REF!</definedName>
    <definedName name="肥後橋富士商ビル駐車場" localSheetId="6" hidden="1">#REF!</definedName>
    <definedName name="肥後橋富士商ビル駐車場" localSheetId="5" hidden="1">#REF!</definedName>
    <definedName name="肥後橋富士商ビル駐車場" hidden="1">#REF!</definedName>
    <definedName name="費用明細1" hidden="1">{"REC1",#N/A,FALSE,"Focus";"REC2",#N/A,FALSE,"Focus";"REC3",#N/A,FALSE,"Focus";"REC4",#N/A,FALSE,"Focus"}</definedName>
    <definedName name="費用明細2" hidden="1">{"pond1",#N/A,FALSE,"Focus";"pond2",#N/A,FALSE,"Focus"}</definedName>
    <definedName name="費用明細書1" hidden="1">{"pond1",#N/A,FALSE,"Focus";"pond2",#N/A,FALSE,"Focus"}</definedName>
    <definedName name="標準直接還元" hidden="1">{"AnnualRentRoll",#N/A,FALSE,"RentRoll"}</definedName>
    <definedName name="表紙２" localSheetId="6" hidden="1">{#N/A,#N/A,FALSE,"１";#N/A,#N/A,FALSE,"２";#N/A,#N/A,FALSE,"３";#N/A,#N/A,FALSE,"４"}</definedName>
    <definedName name="表紙２" hidden="1">{#N/A,#N/A,FALSE,"１";#N/A,#N/A,FALSE,"２";#N/A,#N/A,FALSE,"３";#N/A,#N/A,FALSE,"４"}</definedName>
    <definedName name="評価対象" hidden="1">#REF!</definedName>
    <definedName name="負荷分散" localSheetId="6" hidden="1">{"'フローチャート'!$A$1:$AO$191"}</definedName>
    <definedName name="負荷分散" hidden="1">{"'フローチャート'!$A$1:$AO$191"}</definedName>
    <definedName name="別表" hidden="1">{"REC1",#N/A,FALSE,"Focus";"REC2",#N/A,FALSE,"Focus";"REC3",#N/A,FALSE,"Focus";"REC4",#N/A,FALSE,"Focus"}</definedName>
    <definedName name="別表１" hidden="1">{"gain",#N/A,FALSE,"Focus"}</definedName>
    <definedName name="別表１賃料" hidden="1">{"REC1",#N/A,FALSE,"Focus";"REC2",#N/A,FALSE,"Focus";"REC3",#N/A,FALSE,"Focus";"REC4",#N/A,FALSE,"Focus"}</definedName>
    <definedName name="別表１賃料明細" hidden="1">{"summary",#N/A,TRUE,"Focus";"interestexpense",#N/A,TRUE,"Focus";"interestincome",#N/A,TRUE,"Focus";"dividend",#N/A,TRUE,"Focus";"feeincome",#N/A,TRUE,"Focus";"gain",#N/A,TRUE,"Focus"}</definedName>
    <definedName name="保証金明細1" hidden="1">{"summary",#N/A,TRUE,"Focus";"interestexpense",#N/A,TRUE,"Focus";"interestincome",#N/A,TRUE,"Focus";"dividend",#N/A,TRUE,"Focus";"feeincome",#N/A,TRUE,"Focus";"gain",#N/A,TRUE,"Focus"}</definedName>
    <definedName name="保証金明細2" hidden="1">{"REC1",#N/A,FALSE,"Focus";"REC2",#N/A,FALSE,"Focus";"REC3",#N/A,FALSE,"Focus";"REC4",#N/A,FALSE,"Focus"}</definedName>
    <definedName name="메롱" hidden="1">{#N/A,#N/A,FALSE,"동부"}</definedName>
    <definedName name="本町" hidden="1">{#N/A,#N/A,FALSE,"Aging Summary";#N/A,#N/A,FALSE,"Ratio Analysis";#N/A,#N/A,FALSE,"Test 120 Day Accts";#N/A,#N/A,FALSE,"Tickmarks"}</definedName>
    <definedName name="野村" localSheetId="5" hidden="1">#REF!,#REF!,#REF!,#REF!,#REF!,#REF!,#REF!,#REF!</definedName>
    <definedName name="野村" hidden="1">#REF!,#REF!,#REF!,#REF!,#REF!,#REF!,#REF!,#REF!</definedName>
    <definedName name="要処理資産②" hidden="1">{"'下期集計（10.27迄・速報値）'!$Q$16"}</definedName>
    <definedName name="배분전" hidden="1">{#N/A,#N/A,TRUE,"대 차 대 조 표"}</definedName>
    <definedName name="비" hidden="1">{#N/A,#N/A,FALSE,"동부"}</definedName>
    <definedName name="빌" hidden="1">{#N/A,#N/A,FALSE,"동부"}</definedName>
    <definedName name="빌딩" hidden="1">{#N/A,#N/A,FALSE,"동부"}</definedName>
    <definedName name="빌딩2" hidden="1">{#N/A,#N/A,FALSE,"동부"}</definedName>
    <definedName name="빌딩별2" hidden="1">{#N/A,#N/A,FALSE,"동부"}</definedName>
    <definedName name="빌딩별강남" hidden="1">{#N/A,#N/A,FALSE,"동부"}</definedName>
    <definedName name="수입" hidden="1">{#N/A,#N/A,TRUE,"대 차 대 조 표"}</definedName>
    <definedName name="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임차풀" hidden="1">{#N/A,#N/A,FALSE,"동부"}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풀" hidden="1">{#N/A,#N/A,FALSE,"동부"}</definedName>
    <definedName name="ㅠㅠㅠ" hidden="1">{#N/A,#N/A,FALSE,"동부"}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3" i="83" l="1"/>
  <c r="T90" i="77" l="1"/>
  <c r="G80" i="78" l="1"/>
  <c r="G79" i="78"/>
  <c r="G78" i="78"/>
  <c r="G77" i="78"/>
  <c r="G76" i="78"/>
  <c r="G75" i="78"/>
  <c r="G74" i="78"/>
  <c r="G73" i="78"/>
  <c r="G72" i="78"/>
  <c r="G71" i="78"/>
  <c r="S80" i="78"/>
  <c r="B72" i="78"/>
  <c r="B73" i="78" s="1"/>
  <c r="B74" i="78" s="1"/>
  <c r="B75" i="78" s="1"/>
  <c r="B76" i="78" s="1"/>
  <c r="B77" i="78" s="1"/>
  <c r="B78" i="78" s="1"/>
  <c r="B79" i="78" s="1"/>
  <c r="B80" i="78" s="1"/>
  <c r="R60" i="78" l="1"/>
  <c r="Q60" i="78"/>
  <c r="P60" i="78"/>
  <c r="O60" i="78"/>
  <c r="N60" i="78"/>
  <c r="M60" i="78"/>
  <c r="L60" i="78"/>
  <c r="K60" i="78"/>
  <c r="J60" i="78"/>
  <c r="I60" i="78"/>
  <c r="H60" i="78"/>
  <c r="H14" i="86"/>
  <c r="I85" i="78" l="1"/>
  <c r="H85" i="78" l="1"/>
  <c r="J85" i="78"/>
  <c r="K85" i="78"/>
  <c r="L85" i="78"/>
  <c r="M85" i="78"/>
  <c r="N85" i="78"/>
  <c r="O85" i="78"/>
  <c r="P85" i="78"/>
  <c r="Q85" i="78"/>
  <c r="S81" i="78"/>
  <c r="R85" i="78"/>
  <c r="H15" i="86" l="1"/>
  <c r="H13" i="86"/>
  <c r="P78" i="77" l="1"/>
  <c r="M78" i="77"/>
  <c r="J78" i="77"/>
  <c r="G78" i="77"/>
  <c r="D78" i="77"/>
  <c r="A1" i="83" l="1"/>
  <c r="A1" i="85"/>
  <c r="A1" i="79"/>
  <c r="A1" i="78"/>
  <c r="A1" i="77"/>
  <c r="F50" i="83" l="1"/>
  <c r="I50" i="83"/>
  <c r="J50" i="83" s="1"/>
  <c r="F35" i="83"/>
  <c r="F36" i="83"/>
  <c r="F37" i="83"/>
  <c r="F38" i="83"/>
  <c r="F39" i="83"/>
  <c r="F40" i="83"/>
  <c r="F41" i="83"/>
  <c r="F42" i="83"/>
  <c r="F43" i="83"/>
  <c r="F44" i="83"/>
  <c r="F45" i="83"/>
  <c r="F46" i="83"/>
  <c r="F47" i="83"/>
  <c r="F48" i="83"/>
  <c r="F49" i="83"/>
  <c r="F34" i="83"/>
  <c r="I132" i="79"/>
  <c r="J132" i="79" s="1"/>
  <c r="F132" i="79" l="1"/>
  <c r="K132" i="79" s="1"/>
  <c r="L132" i="79" s="1"/>
  <c r="O132" i="79" s="1"/>
  <c r="I35" i="77" l="1"/>
  <c r="I47" i="77" s="1"/>
  <c r="Q49" i="78" l="1"/>
  <c r="N49" i="78"/>
  <c r="I49" i="78"/>
  <c r="K49" i="78"/>
  <c r="J67" i="78"/>
  <c r="M49" i="78"/>
  <c r="M46" i="78" s="1"/>
  <c r="O49" i="78"/>
  <c r="O46" i="78" s="1"/>
  <c r="H49" i="78"/>
  <c r="H46" i="78" s="1"/>
  <c r="H41" i="78" s="1"/>
  <c r="P49" i="78"/>
  <c r="P46" i="78" s="1"/>
  <c r="J49" i="78"/>
  <c r="J46" i="78" s="1"/>
  <c r="N67" i="78"/>
  <c r="R49" i="78"/>
  <c r="R46" i="78" s="1"/>
  <c r="I67" i="78"/>
  <c r="Q67" i="78"/>
  <c r="L49" i="78"/>
  <c r="L46" i="78" s="1"/>
  <c r="O67" i="78"/>
  <c r="P67" i="78"/>
  <c r="K46" i="78" l="1"/>
  <c r="K42" i="78" s="1"/>
  <c r="K78" i="78" s="1"/>
  <c r="I46" i="78"/>
  <c r="I39" i="78" s="1"/>
  <c r="N46" i="78"/>
  <c r="N42" i="78" s="1"/>
  <c r="N78" i="78" s="1"/>
  <c r="Q46" i="78"/>
  <c r="Q35" i="78" s="1"/>
  <c r="K40" i="78"/>
  <c r="N40" i="78"/>
  <c r="M67" i="78"/>
  <c r="N36" i="78"/>
  <c r="R67" i="78"/>
  <c r="H67" i="78"/>
  <c r="K44" i="78"/>
  <c r="L67" i="78"/>
  <c r="K43" i="78"/>
  <c r="K37" i="78"/>
  <c r="K67" i="78"/>
  <c r="K38" i="78"/>
  <c r="I36" i="78"/>
  <c r="I44" i="78"/>
  <c r="I40" i="78"/>
  <c r="I38" i="78"/>
  <c r="I42" i="78"/>
  <c r="I78" i="78" s="1"/>
  <c r="I35" i="78"/>
  <c r="R43" i="78"/>
  <c r="R39" i="78"/>
  <c r="R35" i="78"/>
  <c r="R42" i="78"/>
  <c r="R78" i="78" s="1"/>
  <c r="R38" i="78"/>
  <c r="R41" i="78"/>
  <c r="R37" i="78"/>
  <c r="R44" i="78"/>
  <c r="R40" i="78"/>
  <c r="R36" i="78"/>
  <c r="J43" i="78"/>
  <c r="J39" i="78"/>
  <c r="J35" i="78"/>
  <c r="J42" i="78"/>
  <c r="J78" i="78" s="1"/>
  <c r="J38" i="78"/>
  <c r="J41" i="78"/>
  <c r="J37" i="78"/>
  <c r="J44" i="78"/>
  <c r="J40" i="78"/>
  <c r="J36" i="78"/>
  <c r="P44" i="78"/>
  <c r="P40" i="78"/>
  <c r="P36" i="78"/>
  <c r="P43" i="78"/>
  <c r="P39" i="78"/>
  <c r="P35" i="78"/>
  <c r="P42" i="78"/>
  <c r="P78" i="78" s="1"/>
  <c r="P38" i="78"/>
  <c r="P41" i="78"/>
  <c r="P37" i="78"/>
  <c r="L42" i="78"/>
  <c r="L78" i="78" s="1"/>
  <c r="L38" i="78"/>
  <c r="L41" i="78"/>
  <c r="L37" i="78"/>
  <c r="L44" i="78"/>
  <c r="L40" i="78"/>
  <c r="L36" i="78"/>
  <c r="L43" i="78"/>
  <c r="L39" i="78"/>
  <c r="L35" i="78"/>
  <c r="H38" i="78"/>
  <c r="H36" i="78"/>
  <c r="H35" i="78"/>
  <c r="H37" i="78"/>
  <c r="H44" i="78"/>
  <c r="H43" i="78"/>
  <c r="H39" i="78"/>
  <c r="H42" i="78"/>
  <c r="H78" i="78" s="1"/>
  <c r="H40" i="78"/>
  <c r="O43" i="78"/>
  <c r="O39" i="78"/>
  <c r="O35" i="78"/>
  <c r="O44" i="78"/>
  <c r="O40" i="78"/>
  <c r="O36" i="78"/>
  <c r="O42" i="78"/>
  <c r="O78" i="78" s="1"/>
  <c r="O38" i="78"/>
  <c r="O41" i="78"/>
  <c r="O37" i="78"/>
  <c r="M36" i="78"/>
  <c r="M41" i="78"/>
  <c r="M37" i="78"/>
  <c r="M44" i="78"/>
  <c r="M40" i="78"/>
  <c r="M42" i="78"/>
  <c r="M78" i="78" s="1"/>
  <c r="M38" i="78"/>
  <c r="M43" i="78"/>
  <c r="M39" i="78"/>
  <c r="M35" i="78"/>
  <c r="K39" i="78" l="1"/>
  <c r="K35" i="78"/>
  <c r="Q36" i="78"/>
  <c r="Q38" i="78"/>
  <c r="Q40" i="78"/>
  <c r="Q43" i="78"/>
  <c r="N43" i="78"/>
  <c r="N35" i="78"/>
  <c r="Q37" i="78"/>
  <c r="Q42" i="78"/>
  <c r="Q78" i="78" s="1"/>
  <c r="I41" i="78"/>
  <c r="N41" i="78"/>
  <c r="N38" i="78"/>
  <c r="N44" i="78"/>
  <c r="N39" i="78"/>
  <c r="I43" i="78"/>
  <c r="Q39" i="78"/>
  <c r="N37" i="78"/>
  <c r="Q44" i="78"/>
  <c r="I37" i="78"/>
  <c r="K41" i="78"/>
  <c r="Q41" i="78"/>
  <c r="K36" i="78"/>
  <c r="G74" i="83"/>
  <c r="H74" i="83" s="1"/>
  <c r="I74" i="83" s="1"/>
  <c r="G73" i="83"/>
  <c r="H73" i="83" s="1"/>
  <c r="I73" i="83" s="1"/>
  <c r="G72" i="83"/>
  <c r="H72" i="83" s="1"/>
  <c r="I72" i="83" s="1"/>
  <c r="G70" i="83"/>
  <c r="H70" i="83" s="1"/>
  <c r="I70" i="83" s="1"/>
  <c r="F91" i="83"/>
  <c r="G91" i="83" s="1"/>
  <c r="H91" i="83" s="1"/>
  <c r="I91" i="83" s="1"/>
  <c r="F90" i="83"/>
  <c r="G90" i="83" s="1"/>
  <c r="H90" i="83" s="1"/>
  <c r="I90" i="83" s="1"/>
  <c r="F87" i="83"/>
  <c r="G87" i="83" s="1"/>
  <c r="H87" i="83" s="1"/>
  <c r="I87" i="83" s="1"/>
  <c r="F86" i="83"/>
  <c r="G86" i="83" s="1"/>
  <c r="H86" i="83" s="1"/>
  <c r="I86" i="83" s="1"/>
  <c r="F85" i="83"/>
  <c r="G85" i="83" s="1"/>
  <c r="H85" i="83" s="1"/>
  <c r="I85" i="83" s="1"/>
  <c r="F82" i="83"/>
  <c r="G82" i="83" s="1"/>
  <c r="H82" i="83" s="1"/>
  <c r="I82" i="83" s="1"/>
  <c r="F81" i="83"/>
  <c r="G81" i="83" s="1"/>
  <c r="H81" i="83" s="1"/>
  <c r="I81" i="83" s="1"/>
  <c r="F80" i="83"/>
  <c r="G80" i="83" s="1"/>
  <c r="H80" i="83" s="1"/>
  <c r="I80" i="83" s="1"/>
  <c r="F79" i="83"/>
  <c r="G79" i="83" s="1"/>
  <c r="H79" i="83" s="1"/>
  <c r="I79" i="83" s="1"/>
  <c r="F78" i="83"/>
  <c r="G78" i="83" s="1"/>
  <c r="H78" i="83" s="1"/>
  <c r="I78" i="83" s="1"/>
  <c r="F77" i="83"/>
  <c r="G77" i="83" s="1"/>
  <c r="H77" i="83" s="1"/>
  <c r="I77" i="83" s="1"/>
  <c r="G76" i="83"/>
  <c r="H76" i="83" s="1"/>
  <c r="I76" i="83" s="1"/>
  <c r="F75" i="83"/>
  <c r="G75" i="83" s="1"/>
  <c r="H75" i="83" s="1"/>
  <c r="I75" i="83" s="1"/>
  <c r="F74" i="83"/>
  <c r="F73" i="83"/>
  <c r="F72" i="83"/>
  <c r="F71" i="83"/>
  <c r="G71" i="83" s="1"/>
  <c r="H71" i="83" s="1"/>
  <c r="I71" i="83" s="1"/>
  <c r="F70" i="83"/>
  <c r="F69" i="83"/>
  <c r="G69" i="83" s="1"/>
  <c r="H69" i="83" s="1"/>
  <c r="I69" i="83" s="1"/>
  <c r="F68" i="83"/>
  <c r="G68" i="83" s="1"/>
  <c r="H68" i="83" s="1"/>
  <c r="I68" i="83" s="1"/>
  <c r="F67" i="83"/>
  <c r="G67" i="83" s="1"/>
  <c r="H67" i="83" s="1"/>
  <c r="I67" i="83" s="1"/>
  <c r="F66" i="83"/>
  <c r="G66" i="83" s="1"/>
  <c r="H66" i="83" s="1"/>
  <c r="I66" i="83" s="1"/>
  <c r="F65" i="83"/>
  <c r="G65" i="83" s="1"/>
  <c r="H65" i="83" s="1"/>
  <c r="I65" i="83" s="1"/>
  <c r="I142" i="78"/>
  <c r="J142" i="78" s="1"/>
  <c r="K142" i="78" s="1"/>
  <c r="H146" i="78"/>
  <c r="I146" i="78" s="1"/>
  <c r="J146" i="78" s="1"/>
  <c r="K146" i="78" s="1"/>
  <c r="H145" i="78"/>
  <c r="I145" i="78" s="1"/>
  <c r="J145" i="78" s="1"/>
  <c r="K145" i="78" s="1"/>
  <c r="H144" i="78"/>
  <c r="I144" i="78" s="1"/>
  <c r="J144" i="78" s="1"/>
  <c r="K144" i="78" s="1"/>
  <c r="H143" i="78"/>
  <c r="I143" i="78" s="1"/>
  <c r="J143" i="78" s="1"/>
  <c r="K143" i="78" s="1"/>
  <c r="H142" i="78"/>
  <c r="H141" i="78"/>
  <c r="I141" i="78" s="1"/>
  <c r="J141" i="78" s="1"/>
  <c r="K141" i="78" s="1"/>
  <c r="H140" i="78"/>
  <c r="I140" i="78" s="1"/>
  <c r="J140" i="78" s="1"/>
  <c r="K140" i="78" s="1"/>
  <c r="H139" i="78"/>
  <c r="I139" i="78" s="1"/>
  <c r="J139" i="78" s="1"/>
  <c r="K139" i="78" s="1"/>
  <c r="H138" i="78"/>
  <c r="I138" i="78" s="1"/>
  <c r="J138" i="78" s="1"/>
  <c r="K138" i="78" s="1"/>
  <c r="H136" i="78"/>
  <c r="I136" i="78" s="1"/>
  <c r="J136" i="78" s="1"/>
  <c r="K136" i="78" s="1"/>
  <c r="H135" i="78"/>
  <c r="I135" i="78" s="1"/>
  <c r="J135" i="78" s="1"/>
  <c r="K135" i="78" s="1"/>
  <c r="H134" i="78"/>
  <c r="I134" i="78" s="1"/>
  <c r="J134" i="78" s="1"/>
  <c r="K134" i="78" s="1"/>
  <c r="H133" i="78"/>
  <c r="I133" i="78" s="1"/>
  <c r="J133" i="78" s="1"/>
  <c r="K133" i="78" s="1"/>
  <c r="H132" i="78"/>
  <c r="I132" i="78" s="1"/>
  <c r="J132" i="78" s="1"/>
  <c r="K132" i="78" s="1"/>
  <c r="H131" i="78"/>
  <c r="I131" i="78" s="1"/>
  <c r="J131" i="78" s="1"/>
  <c r="K131" i="78" s="1"/>
  <c r="F79" i="85"/>
  <c r="G79" i="85" s="1"/>
  <c r="H79" i="85" s="1"/>
  <c r="I79" i="85" s="1"/>
  <c r="F78" i="85"/>
  <c r="G78" i="85" s="1"/>
  <c r="H78" i="85" s="1"/>
  <c r="I78" i="85" s="1"/>
  <c r="F77" i="85"/>
  <c r="G77" i="85" s="1"/>
  <c r="H77" i="85" s="1"/>
  <c r="I77" i="85" s="1"/>
  <c r="F76" i="85"/>
  <c r="G76" i="85" s="1"/>
  <c r="H76" i="85" s="1"/>
  <c r="I76" i="85" s="1"/>
  <c r="F75" i="85"/>
  <c r="G75" i="85" s="1"/>
  <c r="H75" i="85" s="1"/>
  <c r="I75" i="85" s="1"/>
  <c r="F147" i="79"/>
  <c r="G147" i="79" s="1"/>
  <c r="H147" i="79" s="1"/>
  <c r="I147" i="79" s="1"/>
  <c r="F146" i="79"/>
  <c r="G146" i="79" s="1"/>
  <c r="H146" i="79" s="1"/>
  <c r="I146" i="79" s="1"/>
  <c r="F145" i="79"/>
  <c r="G145" i="79" s="1"/>
  <c r="H145" i="79" s="1"/>
  <c r="I145" i="79" s="1"/>
  <c r="F144" i="79"/>
  <c r="G144" i="79" s="1"/>
  <c r="H144" i="79" s="1"/>
  <c r="I144" i="79" s="1"/>
  <c r="F143" i="79"/>
  <c r="G143" i="79" s="1"/>
  <c r="H143" i="79" s="1"/>
  <c r="I143" i="79" s="1"/>
  <c r="F142" i="79"/>
  <c r="G142" i="79" s="1"/>
  <c r="H142" i="79" s="1"/>
  <c r="I142" i="79" s="1"/>
  <c r="F141" i="79"/>
  <c r="G141" i="79" s="1"/>
  <c r="H141" i="79" s="1"/>
  <c r="I141" i="79" s="1"/>
  <c r="F140" i="79"/>
  <c r="G140" i="79" s="1"/>
  <c r="H140" i="79" s="1"/>
  <c r="I140" i="79" s="1"/>
  <c r="F139" i="79"/>
  <c r="G139" i="79" s="1"/>
  <c r="H139" i="79" s="1"/>
  <c r="I139" i="79" s="1"/>
  <c r="F138" i="79"/>
  <c r="G138" i="79" s="1"/>
  <c r="H138" i="79" s="1"/>
  <c r="I138" i="79" s="1"/>
  <c r="O45" i="77"/>
  <c r="L45" i="77"/>
  <c r="I45" i="77"/>
  <c r="F45" i="77"/>
  <c r="O35" i="77"/>
  <c r="O47" i="77" s="1"/>
  <c r="O34" i="77"/>
  <c r="O46" i="77" s="1"/>
  <c r="L35" i="77"/>
  <c r="L47" i="77" s="1"/>
  <c r="L34" i="77"/>
  <c r="L46" i="77" s="1"/>
  <c r="I34" i="77"/>
  <c r="I46" i="77" s="1"/>
  <c r="F35" i="77"/>
  <c r="F47" i="77" s="1"/>
  <c r="F34" i="77"/>
  <c r="F46" i="77" s="1"/>
  <c r="D33" i="77" l="1"/>
  <c r="R62" i="78" l="1"/>
  <c r="R80" i="78" s="1"/>
  <c r="Q62" i="78"/>
  <c r="Q80" i="78" s="1"/>
  <c r="P62" i="78"/>
  <c r="P80" i="78" s="1"/>
  <c r="O62" i="78"/>
  <c r="O80" i="78" s="1"/>
  <c r="N62" i="78"/>
  <c r="N80" i="78" s="1"/>
  <c r="M62" i="78"/>
  <c r="M80" i="78" s="1"/>
  <c r="L62" i="78"/>
  <c r="L80" i="78" s="1"/>
  <c r="K62" i="78"/>
  <c r="K80" i="78" s="1"/>
  <c r="J62" i="78"/>
  <c r="J80" i="78" s="1"/>
  <c r="I62" i="78"/>
  <c r="I80" i="78" s="1"/>
  <c r="H62" i="78"/>
  <c r="H80" i="78" s="1"/>
  <c r="R61" i="78"/>
  <c r="R79" i="78" s="1"/>
  <c r="Q61" i="78"/>
  <c r="Q79" i="78" s="1"/>
  <c r="P61" i="78"/>
  <c r="P79" i="78" s="1"/>
  <c r="O61" i="78"/>
  <c r="O79" i="78" s="1"/>
  <c r="N61" i="78"/>
  <c r="N79" i="78" s="1"/>
  <c r="M61" i="78"/>
  <c r="M79" i="78" s="1"/>
  <c r="L61" i="78"/>
  <c r="L79" i="78" s="1"/>
  <c r="K61" i="78"/>
  <c r="K79" i="78" s="1"/>
  <c r="J61" i="78"/>
  <c r="J79" i="78" s="1"/>
  <c r="I61" i="78"/>
  <c r="I79" i="78" s="1"/>
  <c r="H61" i="78"/>
  <c r="H79" i="78" s="1"/>
  <c r="R59" i="78"/>
  <c r="R77" i="78" s="1"/>
  <c r="Q59" i="78"/>
  <c r="Q77" i="78" s="1"/>
  <c r="P59" i="78"/>
  <c r="P77" i="78" s="1"/>
  <c r="O59" i="78"/>
  <c r="O77" i="78" s="1"/>
  <c r="N59" i="78"/>
  <c r="N77" i="78" s="1"/>
  <c r="M59" i="78"/>
  <c r="M77" i="78" s="1"/>
  <c r="L59" i="78"/>
  <c r="L77" i="78" s="1"/>
  <c r="K59" i="78"/>
  <c r="K77" i="78" s="1"/>
  <c r="J59" i="78"/>
  <c r="J77" i="78" s="1"/>
  <c r="I59" i="78"/>
  <c r="I77" i="78" s="1"/>
  <c r="H59" i="78"/>
  <c r="H77" i="78" s="1"/>
  <c r="R58" i="78"/>
  <c r="R76" i="78" s="1"/>
  <c r="Q58" i="78"/>
  <c r="Q76" i="78" s="1"/>
  <c r="P58" i="78"/>
  <c r="P76" i="78" s="1"/>
  <c r="O58" i="78"/>
  <c r="O76" i="78" s="1"/>
  <c r="N58" i="78"/>
  <c r="N76" i="78" s="1"/>
  <c r="M58" i="78"/>
  <c r="M76" i="78" s="1"/>
  <c r="L58" i="78"/>
  <c r="L76" i="78" s="1"/>
  <c r="K58" i="78"/>
  <c r="K76" i="78" s="1"/>
  <c r="J58" i="78"/>
  <c r="J76" i="78" s="1"/>
  <c r="I58" i="78"/>
  <c r="I76" i="78" s="1"/>
  <c r="H58" i="78"/>
  <c r="H76" i="78" s="1"/>
  <c r="R57" i="78"/>
  <c r="R75" i="78" s="1"/>
  <c r="Q57" i="78"/>
  <c r="Q75" i="78" s="1"/>
  <c r="P57" i="78"/>
  <c r="P75" i="78" s="1"/>
  <c r="O57" i="78"/>
  <c r="O75" i="78" s="1"/>
  <c r="N57" i="78"/>
  <c r="N75" i="78" s="1"/>
  <c r="M57" i="78"/>
  <c r="M75" i="78" s="1"/>
  <c r="L57" i="78"/>
  <c r="L75" i="78" s="1"/>
  <c r="K57" i="78"/>
  <c r="K75" i="78" s="1"/>
  <c r="J57" i="78"/>
  <c r="J75" i="78" s="1"/>
  <c r="I57" i="78"/>
  <c r="I75" i="78" s="1"/>
  <c r="H57" i="78"/>
  <c r="H75" i="78" s="1"/>
  <c r="R56" i="78"/>
  <c r="R74" i="78" s="1"/>
  <c r="Q56" i="78"/>
  <c r="Q74" i="78" s="1"/>
  <c r="P56" i="78"/>
  <c r="P74" i="78" s="1"/>
  <c r="O56" i="78"/>
  <c r="O74" i="78" s="1"/>
  <c r="N56" i="78"/>
  <c r="N74" i="78" s="1"/>
  <c r="M56" i="78"/>
  <c r="M74" i="78" s="1"/>
  <c r="L56" i="78"/>
  <c r="L74" i="78" s="1"/>
  <c r="K56" i="78"/>
  <c r="K74" i="78" s="1"/>
  <c r="J56" i="78"/>
  <c r="J74" i="78" s="1"/>
  <c r="I56" i="78"/>
  <c r="I74" i="78" s="1"/>
  <c r="H56" i="78"/>
  <c r="H74" i="78" s="1"/>
  <c r="R55" i="78"/>
  <c r="R73" i="78" s="1"/>
  <c r="Q55" i="78"/>
  <c r="Q73" i="78" s="1"/>
  <c r="P55" i="78"/>
  <c r="P73" i="78" s="1"/>
  <c r="O55" i="78"/>
  <c r="O73" i="78" s="1"/>
  <c r="N55" i="78"/>
  <c r="N73" i="78" s="1"/>
  <c r="M55" i="78"/>
  <c r="M73" i="78" s="1"/>
  <c r="L55" i="78"/>
  <c r="L73" i="78" s="1"/>
  <c r="K55" i="78"/>
  <c r="K73" i="78" s="1"/>
  <c r="J55" i="78"/>
  <c r="J73" i="78" s="1"/>
  <c r="I55" i="78"/>
  <c r="I73" i="78" s="1"/>
  <c r="H55" i="78"/>
  <c r="H73" i="78" s="1"/>
  <c r="R54" i="78"/>
  <c r="R72" i="78" s="1"/>
  <c r="Q54" i="78"/>
  <c r="Q72" i="78" s="1"/>
  <c r="P54" i="78"/>
  <c r="P72" i="78" s="1"/>
  <c r="O54" i="78"/>
  <c r="O72" i="78" s="1"/>
  <c r="N54" i="78"/>
  <c r="N72" i="78" s="1"/>
  <c r="M54" i="78"/>
  <c r="M72" i="78" s="1"/>
  <c r="L54" i="78"/>
  <c r="L72" i="78" s="1"/>
  <c r="K54" i="78"/>
  <c r="K72" i="78" s="1"/>
  <c r="J54" i="78"/>
  <c r="J72" i="78" s="1"/>
  <c r="I54" i="78"/>
  <c r="I72" i="78" s="1"/>
  <c r="H54" i="78"/>
  <c r="H72" i="78" s="1"/>
  <c r="R53" i="78"/>
  <c r="R71" i="78" s="1"/>
  <c r="Q53" i="78"/>
  <c r="Q71" i="78" s="1"/>
  <c r="P53" i="78"/>
  <c r="P71" i="78" s="1"/>
  <c r="O53" i="78"/>
  <c r="O71" i="78" s="1"/>
  <c r="N53" i="78"/>
  <c r="N71" i="78" s="1"/>
  <c r="M53" i="78"/>
  <c r="M71" i="78" s="1"/>
  <c r="L53" i="78"/>
  <c r="L71" i="78" s="1"/>
  <c r="K53" i="78"/>
  <c r="K71" i="78" s="1"/>
  <c r="J53" i="78"/>
  <c r="J71" i="78" s="1"/>
  <c r="I53" i="78"/>
  <c r="I71" i="78" s="1"/>
  <c r="H53" i="78"/>
  <c r="H71" i="78" s="1"/>
  <c r="B90" i="78"/>
  <c r="B91" i="78" s="1"/>
  <c r="B92" i="78" s="1"/>
  <c r="B93" i="78" s="1"/>
  <c r="B94" i="78" s="1"/>
  <c r="B95" i="78" s="1"/>
  <c r="B96" i="78" s="1"/>
  <c r="B97" i="78" s="1"/>
  <c r="B98" i="78" s="1"/>
  <c r="B54" i="78"/>
  <c r="B55" i="78" s="1"/>
  <c r="B56" i="78" s="1"/>
  <c r="B57" i="78" s="1"/>
  <c r="B58" i="78" s="1"/>
  <c r="B59" i="78" s="1"/>
  <c r="B60" i="78" s="1"/>
  <c r="B61" i="78" s="1"/>
  <c r="B62" i="78" s="1"/>
  <c r="B36" i="78"/>
  <c r="B37" i="78" s="1"/>
  <c r="B38" i="78" s="1"/>
  <c r="B39" i="78" s="1"/>
  <c r="B40" i="78" s="1"/>
  <c r="B41" i="78" s="1"/>
  <c r="B42" i="78" s="1"/>
  <c r="B43" i="78" s="1"/>
  <c r="B44" i="78" s="1"/>
  <c r="E29" i="78"/>
  <c r="E44" i="78" s="1"/>
  <c r="E62" i="78" s="1"/>
  <c r="E28" i="78"/>
  <c r="E43" i="78" s="1"/>
  <c r="E61" i="78" s="1"/>
  <c r="E27" i="78"/>
  <c r="E42" i="78" s="1"/>
  <c r="E60" i="78" s="1"/>
  <c r="E26" i="78"/>
  <c r="E41" i="78" s="1"/>
  <c r="E59" i="78" s="1"/>
  <c r="E25" i="78"/>
  <c r="E40" i="78" s="1"/>
  <c r="E58" i="78" s="1"/>
  <c r="E24" i="78"/>
  <c r="E39" i="78" s="1"/>
  <c r="E57" i="78" s="1"/>
  <c r="E23" i="78"/>
  <c r="E38" i="78" s="1"/>
  <c r="E56" i="78" s="1"/>
  <c r="E22" i="78"/>
  <c r="E37" i="78" s="1"/>
  <c r="E55" i="78" s="1"/>
  <c r="E21" i="78"/>
  <c r="E36" i="78" s="1"/>
  <c r="E54" i="78" s="1"/>
  <c r="E20" i="78"/>
  <c r="E35" i="78" s="1"/>
  <c r="E53" i="78" s="1"/>
  <c r="C29" i="78"/>
  <c r="C44" i="78" s="1"/>
  <c r="C62" i="78" s="1"/>
  <c r="C28" i="78"/>
  <c r="C43" i="78" s="1"/>
  <c r="C61" i="78" s="1"/>
  <c r="C27" i="78"/>
  <c r="C42" i="78" s="1"/>
  <c r="C60" i="78" s="1"/>
  <c r="C26" i="78"/>
  <c r="C41" i="78" s="1"/>
  <c r="C59" i="78" s="1"/>
  <c r="C25" i="78"/>
  <c r="C40" i="78" s="1"/>
  <c r="C58" i="78" s="1"/>
  <c r="C24" i="78"/>
  <c r="C39" i="78" s="1"/>
  <c r="C57" i="78" s="1"/>
  <c r="C23" i="78"/>
  <c r="C38" i="78" s="1"/>
  <c r="C56" i="78" s="1"/>
  <c r="C22" i="78"/>
  <c r="C37" i="78" s="1"/>
  <c r="C21" i="78"/>
  <c r="C36" i="78" s="1"/>
  <c r="C54" i="78" s="1"/>
  <c r="C20" i="78"/>
  <c r="C35" i="78" s="1"/>
  <c r="C53" i="78" s="1"/>
  <c r="B21" i="78"/>
  <c r="B22" i="78" s="1"/>
  <c r="B23" i="78" s="1"/>
  <c r="B24" i="78" s="1"/>
  <c r="B25" i="78" s="1"/>
  <c r="B26" i="78" s="1"/>
  <c r="B27" i="78" s="1"/>
  <c r="B28" i="78" s="1"/>
  <c r="B29" i="78" s="1"/>
  <c r="B8" i="86"/>
  <c r="B9" i="86" s="1"/>
  <c r="B10" i="86" s="1"/>
  <c r="B11" i="86" s="1"/>
  <c r="B12" i="86" s="1"/>
  <c r="B13" i="86" s="1"/>
  <c r="B14" i="86" s="1"/>
  <c r="B15" i="86" s="1"/>
  <c r="B16" i="86" s="1"/>
  <c r="D17" i="86"/>
  <c r="D29" i="78"/>
  <c r="D44" i="78" s="1"/>
  <c r="D62" i="78" s="1"/>
  <c r="D28" i="78"/>
  <c r="D43" i="78" s="1"/>
  <c r="D61" i="78" s="1"/>
  <c r="D27" i="78"/>
  <c r="D42" i="78" s="1"/>
  <c r="D60" i="78" s="1"/>
  <c r="D26" i="78"/>
  <c r="D41" i="78" s="1"/>
  <c r="D59" i="78" s="1"/>
  <c r="D25" i="78"/>
  <c r="D40" i="78" s="1"/>
  <c r="D58" i="78" s="1"/>
  <c r="D24" i="78"/>
  <c r="D39" i="78" s="1"/>
  <c r="D57" i="78" s="1"/>
  <c r="D23" i="78"/>
  <c r="D38" i="78" s="1"/>
  <c r="D56" i="78" s="1"/>
  <c r="H9" i="86"/>
  <c r="D22" i="78" s="1"/>
  <c r="D37" i="78" s="1"/>
  <c r="D55" i="78" s="1"/>
  <c r="D21" i="78"/>
  <c r="D36" i="78" s="1"/>
  <c r="D54" i="78" s="1"/>
  <c r="H7" i="86"/>
  <c r="E98" i="78" l="1"/>
  <c r="E80" i="78"/>
  <c r="D96" i="78"/>
  <c r="D78" i="78"/>
  <c r="D90" i="78"/>
  <c r="D72" i="78"/>
  <c r="C93" i="78"/>
  <c r="C75" i="78"/>
  <c r="C92" i="78"/>
  <c r="C74" i="78"/>
  <c r="D98" i="78"/>
  <c r="D80" i="78"/>
  <c r="U80" i="78" s="1"/>
  <c r="D91" i="78"/>
  <c r="D73" i="78"/>
  <c r="C94" i="78"/>
  <c r="C76" i="78"/>
  <c r="E92" i="78"/>
  <c r="E74" i="78"/>
  <c r="C95" i="78"/>
  <c r="C77" i="78"/>
  <c r="E93" i="78"/>
  <c r="E75" i="78"/>
  <c r="E90" i="78"/>
  <c r="E72" i="78"/>
  <c r="D93" i="78"/>
  <c r="D75" i="78"/>
  <c r="C96" i="78"/>
  <c r="C78" i="78"/>
  <c r="E94" i="78"/>
  <c r="E76" i="78"/>
  <c r="D97" i="78"/>
  <c r="D79" i="78"/>
  <c r="D92" i="78"/>
  <c r="D74" i="78"/>
  <c r="D94" i="78"/>
  <c r="D76" i="78"/>
  <c r="C97" i="78"/>
  <c r="C79" i="78"/>
  <c r="C89" i="78"/>
  <c r="C71" i="78"/>
  <c r="D95" i="78"/>
  <c r="D77" i="78"/>
  <c r="C90" i="78"/>
  <c r="C72" i="78"/>
  <c r="C98" i="78"/>
  <c r="C80" i="78"/>
  <c r="E95" i="78"/>
  <c r="E77" i="78"/>
  <c r="E96" i="78"/>
  <c r="E78" i="78"/>
  <c r="E91" i="78"/>
  <c r="E73" i="78"/>
  <c r="E97" i="78"/>
  <c r="E79" i="78"/>
  <c r="I7" i="86"/>
  <c r="I14" i="86"/>
  <c r="I9" i="86"/>
  <c r="I13" i="86"/>
  <c r="I15" i="86"/>
  <c r="E89" i="78"/>
  <c r="E71" i="78"/>
  <c r="C55" i="78"/>
  <c r="H19" i="86"/>
  <c r="T143" i="83" s="1"/>
  <c r="T144" i="83" s="1"/>
  <c r="T145" i="83" s="1"/>
  <c r="Q143" i="83" s="1"/>
  <c r="D20" i="78"/>
  <c r="D35" i="78" s="1"/>
  <c r="D53" i="78" s="1"/>
  <c r="H17" i="86"/>
  <c r="M29" i="78"/>
  <c r="M98" i="78" s="1"/>
  <c r="L21" i="78"/>
  <c r="O21" i="78"/>
  <c r="G29" i="78"/>
  <c r="G98" i="78" s="1"/>
  <c r="G26" i="78"/>
  <c r="G95" i="78" s="1"/>
  <c r="H26" i="78"/>
  <c r="H95" i="78" s="1"/>
  <c r="K26" i="78"/>
  <c r="K95" i="78" s="1"/>
  <c r="Q26" i="78"/>
  <c r="Q95" i="78" s="1"/>
  <c r="K20" i="78"/>
  <c r="K89" i="78" s="1"/>
  <c r="K29" i="78"/>
  <c r="K98" i="78" s="1"/>
  <c r="O20" i="78"/>
  <c r="O89" i="78" s="1"/>
  <c r="G22" i="78"/>
  <c r="G28" i="78"/>
  <c r="G97" i="78" s="1"/>
  <c r="P20" i="78"/>
  <c r="P89" i="78" s="1"/>
  <c r="H22" i="78"/>
  <c r="I26" i="78"/>
  <c r="I95" i="78" s="1"/>
  <c r="H28" i="78"/>
  <c r="H97" i="78" s="1"/>
  <c r="L29" i="78"/>
  <c r="L98" i="78" s="1"/>
  <c r="L27" i="78"/>
  <c r="L96" i="78" s="1"/>
  <c r="G21" i="78"/>
  <c r="K22" i="78"/>
  <c r="O26" i="78"/>
  <c r="O95" i="78" s="1"/>
  <c r="K28" i="78"/>
  <c r="K97" i="78" s="1"/>
  <c r="O29" i="78"/>
  <c r="O98" i="78" s="1"/>
  <c r="Q20" i="78"/>
  <c r="Q89" i="78" s="1"/>
  <c r="I22" i="78"/>
  <c r="I28" i="78"/>
  <c r="I97" i="78" s="1"/>
  <c r="G20" i="78"/>
  <c r="G89" i="78" s="1"/>
  <c r="K21" i="78"/>
  <c r="O22" i="78"/>
  <c r="P26" i="78"/>
  <c r="P95" i="78" s="1"/>
  <c r="O28" i="78"/>
  <c r="O97" i="78" s="1"/>
  <c r="H20" i="78"/>
  <c r="H89" i="78" s="1"/>
  <c r="P22" i="78"/>
  <c r="P28" i="78"/>
  <c r="P97" i="78" s="1"/>
  <c r="I20" i="78"/>
  <c r="I89" i="78" s="1"/>
  <c r="M21" i="78"/>
  <c r="Q22" i="78"/>
  <c r="K27" i="78"/>
  <c r="K96" i="78" s="1"/>
  <c r="Q28" i="78"/>
  <c r="Q97" i="78" s="1"/>
  <c r="M23" i="78"/>
  <c r="I24" i="78"/>
  <c r="I93" i="78" s="1"/>
  <c r="Q24" i="78"/>
  <c r="Q93" i="78" s="1"/>
  <c r="M25" i="78"/>
  <c r="M94" i="78" s="1"/>
  <c r="M27" i="78"/>
  <c r="M96" i="78" s="1"/>
  <c r="J20" i="78"/>
  <c r="J89" i="78" s="1"/>
  <c r="R20" i="78"/>
  <c r="R89" i="78" s="1"/>
  <c r="N21" i="78"/>
  <c r="J22" i="78"/>
  <c r="R22" i="78"/>
  <c r="N23" i="78"/>
  <c r="J24" i="78"/>
  <c r="J93" i="78" s="1"/>
  <c r="R24" i="78"/>
  <c r="R93" i="78" s="1"/>
  <c r="N25" i="78"/>
  <c r="N94" i="78" s="1"/>
  <c r="J26" i="78"/>
  <c r="J95" i="78" s="1"/>
  <c r="R26" i="78"/>
  <c r="R95" i="78" s="1"/>
  <c r="N27" i="78"/>
  <c r="N96" i="78" s="1"/>
  <c r="J28" i="78"/>
  <c r="J97" i="78" s="1"/>
  <c r="R28" i="78"/>
  <c r="R97" i="78" s="1"/>
  <c r="N29" i="78"/>
  <c r="N98" i="78" s="1"/>
  <c r="L20" i="78"/>
  <c r="L89" i="78" s="1"/>
  <c r="H21" i="78"/>
  <c r="P21" i="78"/>
  <c r="L22" i="78"/>
  <c r="H23" i="78"/>
  <c r="P23" i="78"/>
  <c r="L24" i="78"/>
  <c r="L93" i="78" s="1"/>
  <c r="H25" i="78"/>
  <c r="H94" i="78" s="1"/>
  <c r="P25" i="78"/>
  <c r="P94" i="78" s="1"/>
  <c r="L26" i="78"/>
  <c r="H27" i="78"/>
  <c r="H96" i="78" s="1"/>
  <c r="P27" i="78"/>
  <c r="P96" i="78" s="1"/>
  <c r="L28" i="78"/>
  <c r="L97" i="78" s="1"/>
  <c r="H29" i="78"/>
  <c r="H98" i="78" s="1"/>
  <c r="P29" i="78"/>
  <c r="P98" i="78" s="1"/>
  <c r="O23" i="78"/>
  <c r="G25" i="78"/>
  <c r="G27" i="78"/>
  <c r="M20" i="78"/>
  <c r="M89" i="78" s="1"/>
  <c r="I21" i="78"/>
  <c r="Q21" i="78"/>
  <c r="M22" i="78"/>
  <c r="I23" i="78"/>
  <c r="Q23" i="78"/>
  <c r="M24" i="78"/>
  <c r="M93" i="78" s="1"/>
  <c r="I25" i="78"/>
  <c r="I94" i="78" s="1"/>
  <c r="Q25" i="78"/>
  <c r="Q94" i="78" s="1"/>
  <c r="M26" i="78"/>
  <c r="M95" i="78" s="1"/>
  <c r="I27" i="78"/>
  <c r="I96" i="78" s="1"/>
  <c r="Q27" i="78"/>
  <c r="Q96" i="78" s="1"/>
  <c r="M28" i="78"/>
  <c r="M97" i="78" s="1"/>
  <c r="I29" i="78"/>
  <c r="I98" i="78" s="1"/>
  <c r="Q29" i="78"/>
  <c r="Q98" i="78" s="1"/>
  <c r="G23" i="78"/>
  <c r="K24" i="78"/>
  <c r="K93" i="78" s="1"/>
  <c r="O25" i="78"/>
  <c r="O94" i="78" s="1"/>
  <c r="O27" i="78"/>
  <c r="O96" i="78" s="1"/>
  <c r="N20" i="78"/>
  <c r="N89" i="78" s="1"/>
  <c r="J21" i="78"/>
  <c r="R21" i="78"/>
  <c r="N22" i="78"/>
  <c r="J23" i="78"/>
  <c r="R23" i="78"/>
  <c r="N24" i="78"/>
  <c r="N93" i="78" s="1"/>
  <c r="J25" i="78"/>
  <c r="J94" i="78" s="1"/>
  <c r="R25" i="78"/>
  <c r="R94" i="78" s="1"/>
  <c r="N26" i="78"/>
  <c r="N95" i="78" s="1"/>
  <c r="J27" i="78"/>
  <c r="J96" i="78" s="1"/>
  <c r="R27" i="78"/>
  <c r="R96" i="78" s="1"/>
  <c r="N28" i="78"/>
  <c r="N97" i="78" s="1"/>
  <c r="J29" i="78"/>
  <c r="J98" i="78" s="1"/>
  <c r="R29" i="78"/>
  <c r="R98" i="78" s="1"/>
  <c r="K23" i="78"/>
  <c r="G24" i="78"/>
  <c r="G93" i="78" s="1"/>
  <c r="O24" i="78"/>
  <c r="K25" i="78"/>
  <c r="K94" i="78" s="1"/>
  <c r="L23" i="78"/>
  <c r="H24" i="78"/>
  <c r="H93" i="78" s="1"/>
  <c r="P24" i="78"/>
  <c r="P93" i="78" s="1"/>
  <c r="L25" i="78"/>
  <c r="L94" i="78" s="1"/>
  <c r="E63" i="78"/>
  <c r="E45" i="78"/>
  <c r="D45" i="78" s="1"/>
  <c r="E30" i="78"/>
  <c r="G8" i="78" s="1"/>
  <c r="D11" i="77" s="1"/>
  <c r="D89" i="78" l="1"/>
  <c r="D71" i="78"/>
  <c r="C91" i="78"/>
  <c r="C73" i="78"/>
  <c r="E99" i="78"/>
  <c r="D99" i="78" s="1"/>
  <c r="E81" i="78"/>
  <c r="D81" i="78" s="1"/>
  <c r="U81" i="78" s="1"/>
  <c r="I17" i="86"/>
  <c r="S89" i="78"/>
  <c r="D63" i="78"/>
  <c r="G11" i="77"/>
  <c r="D96" i="77"/>
  <c r="K30" i="78"/>
  <c r="S24" i="78"/>
  <c r="Q30" i="78"/>
  <c r="J30" i="78"/>
  <c r="S28" i="78"/>
  <c r="M30" i="78"/>
  <c r="P30" i="78"/>
  <c r="S29" i="78"/>
  <c r="G30" i="78"/>
  <c r="S26" i="78"/>
  <c r="O30" i="78"/>
  <c r="N30" i="78"/>
  <c r="L95" i="78"/>
  <c r="S95" i="78" s="1"/>
  <c r="S97" i="78"/>
  <c r="O93" i="78"/>
  <c r="S93" i="78" s="1"/>
  <c r="S27" i="78"/>
  <c r="G96" i="78"/>
  <c r="S96" i="78" s="1"/>
  <c r="I30" i="78"/>
  <c r="S25" i="78"/>
  <c r="G94" i="78"/>
  <c r="S94" i="78" s="1"/>
  <c r="H8" i="78"/>
  <c r="G9" i="78"/>
  <c r="R30" i="78"/>
  <c r="H30" i="78"/>
  <c r="S98" i="78"/>
  <c r="L30" i="78"/>
  <c r="D30" i="78"/>
  <c r="P47" i="85"/>
  <c r="P48" i="85" s="1"/>
  <c r="O47" i="85"/>
  <c r="O48" i="85" s="1"/>
  <c r="N47" i="85"/>
  <c r="N48" i="85" s="1"/>
  <c r="M47" i="85"/>
  <c r="M48" i="85" s="1"/>
  <c r="L47" i="85"/>
  <c r="L48" i="85" s="1"/>
  <c r="K47" i="85"/>
  <c r="K48" i="85" s="1"/>
  <c r="J47" i="85"/>
  <c r="J48" i="85" s="1"/>
  <c r="I47" i="85"/>
  <c r="I48" i="85" s="1"/>
  <c r="H47" i="85"/>
  <c r="H48" i="85" s="1"/>
  <c r="G47" i="85"/>
  <c r="G48" i="85" s="1"/>
  <c r="F47" i="85"/>
  <c r="F48" i="85" s="1"/>
  <c r="P40" i="85"/>
  <c r="P41" i="85" s="1"/>
  <c r="O40" i="85"/>
  <c r="O41" i="85" s="1"/>
  <c r="N40" i="85"/>
  <c r="N41" i="85" s="1"/>
  <c r="M40" i="85"/>
  <c r="M41" i="85" s="1"/>
  <c r="L40" i="85"/>
  <c r="L41" i="85" s="1"/>
  <c r="K40" i="85"/>
  <c r="K41" i="85" s="1"/>
  <c r="J40" i="85"/>
  <c r="J41" i="85" s="1"/>
  <c r="I40" i="85"/>
  <c r="I41" i="85" s="1"/>
  <c r="H40" i="85"/>
  <c r="H41" i="85" s="1"/>
  <c r="G40" i="85"/>
  <c r="G41" i="85" s="1"/>
  <c r="F40" i="85"/>
  <c r="F41" i="85" s="1"/>
  <c r="E47" i="85"/>
  <c r="E48" i="85" s="1"/>
  <c r="E40" i="85"/>
  <c r="E41" i="85" s="1"/>
  <c r="C46" i="85"/>
  <c r="C39" i="85"/>
  <c r="C32" i="85"/>
  <c r="M33" i="85"/>
  <c r="M34" i="85" s="1"/>
  <c r="L33" i="85"/>
  <c r="L34" i="85" s="1"/>
  <c r="C120" i="85"/>
  <c r="I81" i="85"/>
  <c r="H81" i="85"/>
  <c r="G81" i="85"/>
  <c r="F81" i="85"/>
  <c r="G41" i="77" s="1"/>
  <c r="E81" i="85"/>
  <c r="P76" i="85"/>
  <c r="M123" i="85" s="1"/>
  <c r="K46" i="84" s="1"/>
  <c r="O76" i="85"/>
  <c r="K123" i="85" s="1"/>
  <c r="I46" i="84" s="1"/>
  <c r="N76" i="85"/>
  <c r="I123" i="85" s="1"/>
  <c r="G46" i="84" s="1"/>
  <c r="M76" i="85"/>
  <c r="G123" i="85" s="1"/>
  <c r="E46" i="84" s="1"/>
  <c r="L76" i="85"/>
  <c r="E123" i="85" s="1"/>
  <c r="C46" i="84" s="1"/>
  <c r="I69" i="85"/>
  <c r="J69" i="85" s="1"/>
  <c r="F69" i="85"/>
  <c r="I68" i="85"/>
  <c r="J68" i="85" s="1"/>
  <c r="F68" i="85"/>
  <c r="I67" i="85"/>
  <c r="J67" i="85" s="1"/>
  <c r="F67" i="85"/>
  <c r="I66" i="85"/>
  <c r="J66" i="85" s="1"/>
  <c r="H66" i="85"/>
  <c r="H67" i="85" s="1"/>
  <c r="G68" i="85"/>
  <c r="G69" i="85" s="1"/>
  <c r="F66" i="85"/>
  <c r="I65" i="85"/>
  <c r="J65" i="85" s="1"/>
  <c r="F65" i="85"/>
  <c r="P8" i="85"/>
  <c r="P57" i="85" s="1"/>
  <c r="P58" i="85" s="1"/>
  <c r="O8" i="85"/>
  <c r="O57" i="85" s="1"/>
  <c r="O58" i="85" s="1"/>
  <c r="N8" i="85"/>
  <c r="N57" i="85" s="1"/>
  <c r="N58" i="85" s="1"/>
  <c r="M8" i="85"/>
  <c r="M57" i="85" s="1"/>
  <c r="M58" i="85" s="1"/>
  <c r="L8" i="85"/>
  <c r="L57" i="85" s="1"/>
  <c r="L58" i="85" s="1"/>
  <c r="K8" i="85"/>
  <c r="K57" i="85" s="1"/>
  <c r="K58" i="85" s="1"/>
  <c r="J8" i="85"/>
  <c r="J57" i="85" s="1"/>
  <c r="J58" i="85" s="1"/>
  <c r="I8" i="85"/>
  <c r="I57" i="85" s="1"/>
  <c r="I58" i="85" s="1"/>
  <c r="H8" i="85"/>
  <c r="H57" i="85" s="1"/>
  <c r="H58" i="85" s="1"/>
  <c r="G8" i="85"/>
  <c r="G57" i="85" s="1"/>
  <c r="G58" i="85" s="1"/>
  <c r="F8" i="85"/>
  <c r="F57" i="85" s="1"/>
  <c r="F58" i="85" s="1"/>
  <c r="E8" i="85"/>
  <c r="E57" i="85" s="1"/>
  <c r="E58" i="85" s="1"/>
  <c r="S58" i="78" l="1"/>
  <c r="U58" i="78" s="1"/>
  <c r="S62" i="78"/>
  <c r="U62" i="78" s="1"/>
  <c r="S60" i="78"/>
  <c r="U60" i="78" s="1"/>
  <c r="S57" i="78"/>
  <c r="U57" i="78" s="1"/>
  <c r="S59" i="78"/>
  <c r="U59" i="78" s="1"/>
  <c r="S61" i="78"/>
  <c r="M79" i="77"/>
  <c r="J79" i="77"/>
  <c r="G79" i="77"/>
  <c r="D79" i="77"/>
  <c r="P79" i="77"/>
  <c r="T97" i="78"/>
  <c r="T96" i="78"/>
  <c r="T98" i="78"/>
  <c r="T93" i="78"/>
  <c r="T95" i="78"/>
  <c r="T94" i="78"/>
  <c r="I8" i="78"/>
  <c r="H9" i="78"/>
  <c r="M120" i="85"/>
  <c r="K13" i="84"/>
  <c r="K30" i="84" s="1"/>
  <c r="K120" i="85"/>
  <c r="I13" i="84"/>
  <c r="I30" i="84" s="1"/>
  <c r="N77" i="85"/>
  <c r="N75" i="85" s="1"/>
  <c r="I122" i="85" s="1"/>
  <c r="G13" i="84"/>
  <c r="G30" i="84" s="1"/>
  <c r="M77" i="85"/>
  <c r="M75" i="85" s="1"/>
  <c r="G122" i="85" s="1"/>
  <c r="E45" i="84" s="1"/>
  <c r="E44" i="84" s="1"/>
  <c r="E13" i="84"/>
  <c r="E30" i="84" s="1"/>
  <c r="E120" i="85"/>
  <c r="C13" i="84"/>
  <c r="C30" i="84" s="1"/>
  <c r="K66" i="85"/>
  <c r="L66" i="85" s="1"/>
  <c r="O66" i="85" s="1"/>
  <c r="Q58" i="85"/>
  <c r="Q57" i="85"/>
  <c r="Q48" i="85"/>
  <c r="Q47" i="85"/>
  <c r="Q41" i="85"/>
  <c r="Q40" i="85"/>
  <c r="K65" i="85"/>
  <c r="L65" i="85" s="1"/>
  <c r="M65" i="85" s="1"/>
  <c r="K33" i="85"/>
  <c r="K34" i="85" s="1"/>
  <c r="K67" i="85"/>
  <c r="L67" i="85" s="1"/>
  <c r="M67" i="85" s="1"/>
  <c r="N33" i="85"/>
  <c r="N34" i="85" s="1"/>
  <c r="G33" i="85"/>
  <c r="G34" i="85" s="1"/>
  <c r="O33" i="85"/>
  <c r="O34" i="85" s="1"/>
  <c r="E33" i="85"/>
  <c r="H68" i="85"/>
  <c r="K68" i="85" s="1"/>
  <c r="L68" i="85" s="1"/>
  <c r="O68" i="85" s="1"/>
  <c r="I33" i="85"/>
  <c r="I34" i="85" s="1"/>
  <c r="H33" i="85"/>
  <c r="H34" i="85" s="1"/>
  <c r="P33" i="85"/>
  <c r="P34" i="85" s="1"/>
  <c r="J33" i="85"/>
  <c r="J34" i="85" s="1"/>
  <c r="I120" i="85"/>
  <c r="F33" i="85"/>
  <c r="F34" i="85" s="1"/>
  <c r="Q8" i="85"/>
  <c r="G120" i="85"/>
  <c r="L77" i="85"/>
  <c r="L75" i="85" s="1"/>
  <c r="E122" i="85" s="1"/>
  <c r="O77" i="85"/>
  <c r="O75" i="85" s="1"/>
  <c r="K122" i="85" s="1"/>
  <c r="P77" i="85"/>
  <c r="P75" i="85" s="1"/>
  <c r="M122" i="85" s="1"/>
  <c r="U61" i="78" l="1"/>
  <c r="M66" i="85"/>
  <c r="I86" i="85" s="1"/>
  <c r="O67" i="85"/>
  <c r="J8" i="78"/>
  <c r="I9" i="78"/>
  <c r="I45" i="78" s="1"/>
  <c r="M124" i="85"/>
  <c r="K45" i="84"/>
  <c r="K44" i="84" s="1"/>
  <c r="K124" i="85"/>
  <c r="I45" i="84"/>
  <c r="I44" i="84" s="1"/>
  <c r="I124" i="85"/>
  <c r="G45" i="84"/>
  <c r="G44" i="84" s="1"/>
  <c r="G124" i="85"/>
  <c r="E124" i="85"/>
  <c r="C45" i="84"/>
  <c r="C44" i="84" s="1"/>
  <c r="O65" i="85"/>
  <c r="M68" i="85"/>
  <c r="I88" i="85" s="1"/>
  <c r="E34" i="85"/>
  <c r="Q34" i="85" s="1"/>
  <c r="Q33" i="85"/>
  <c r="H69" i="85"/>
  <c r="K69" i="85" s="1"/>
  <c r="L69" i="85" s="1"/>
  <c r="O69" i="85" s="1"/>
  <c r="H85" i="85"/>
  <c r="G85" i="85"/>
  <c r="F85" i="85"/>
  <c r="E85" i="85"/>
  <c r="I85" i="85"/>
  <c r="F87" i="85"/>
  <c r="E87" i="85"/>
  <c r="I87" i="85"/>
  <c r="H87" i="85"/>
  <c r="G87" i="85"/>
  <c r="F86" i="85"/>
  <c r="E86" i="85"/>
  <c r="H86" i="85" l="1"/>
  <c r="G86" i="85"/>
  <c r="E88" i="85"/>
  <c r="K8" i="78"/>
  <c r="J9" i="78"/>
  <c r="J45" i="78" s="1"/>
  <c r="G88" i="85"/>
  <c r="H88" i="85"/>
  <c r="F88" i="85"/>
  <c r="O71" i="85"/>
  <c r="M69" i="85"/>
  <c r="I89" i="85" s="1"/>
  <c r="I91" i="85" s="1"/>
  <c r="L13" i="84" l="1"/>
  <c r="L30" i="84" s="1"/>
  <c r="P41" i="77"/>
  <c r="L8" i="78"/>
  <c r="K9" i="78"/>
  <c r="K45" i="78" s="1"/>
  <c r="G90" i="78"/>
  <c r="N120" i="85"/>
  <c r="F89" i="85"/>
  <c r="F91" i="85" s="1"/>
  <c r="E89" i="85"/>
  <c r="E91" i="85" s="1"/>
  <c r="H89" i="85"/>
  <c r="H91" i="85" s="1"/>
  <c r="G89" i="85"/>
  <c r="G91" i="85" s="1"/>
  <c r="M188" i="83"/>
  <c r="K49" i="84" s="1"/>
  <c r="K188" i="83"/>
  <c r="I49" i="84" s="1"/>
  <c r="I188" i="83"/>
  <c r="G49" i="84" s="1"/>
  <c r="G188" i="83"/>
  <c r="E49" i="84" s="1"/>
  <c r="E188" i="83"/>
  <c r="C49" i="84" s="1"/>
  <c r="M184" i="83"/>
  <c r="K19" i="84" s="1"/>
  <c r="K184" i="83"/>
  <c r="I19" i="84" s="1"/>
  <c r="I184" i="83"/>
  <c r="G19" i="84" s="1"/>
  <c r="G184" i="83"/>
  <c r="E19" i="84" s="1"/>
  <c r="E184" i="83"/>
  <c r="C19" i="84" s="1"/>
  <c r="M183" i="83"/>
  <c r="K17" i="84" s="1"/>
  <c r="K183" i="83"/>
  <c r="I17" i="84" s="1"/>
  <c r="I183" i="83"/>
  <c r="G17" i="84" s="1"/>
  <c r="G183" i="83"/>
  <c r="E17" i="84" s="1"/>
  <c r="E183" i="83"/>
  <c r="C17" i="84" s="1"/>
  <c r="M182" i="83"/>
  <c r="K182" i="83"/>
  <c r="I15" i="84" s="1"/>
  <c r="I182" i="83"/>
  <c r="G15" i="84" s="1"/>
  <c r="G182" i="83"/>
  <c r="E15" i="84" s="1"/>
  <c r="E182" i="83"/>
  <c r="C15" i="84" s="1"/>
  <c r="E145" i="83"/>
  <c r="N144" i="83"/>
  <c r="E144" i="83"/>
  <c r="N143" i="83"/>
  <c r="K143" i="83"/>
  <c r="E140" i="83"/>
  <c r="D121" i="77" s="1"/>
  <c r="G121" i="77" s="1"/>
  <c r="J121" i="77" s="1"/>
  <c r="M121" i="77" s="1"/>
  <c r="P121" i="77" s="1"/>
  <c r="E134" i="83"/>
  <c r="I93" i="83"/>
  <c r="Q66" i="83" s="1"/>
  <c r="Q64" i="83" s="1"/>
  <c r="M187" i="83" s="1"/>
  <c r="H93" i="83"/>
  <c r="P66" i="83" s="1"/>
  <c r="P64" i="83" s="1"/>
  <c r="K187" i="83" s="1"/>
  <c r="G93" i="83"/>
  <c r="O66" i="83" s="1"/>
  <c r="O64" i="83" s="1"/>
  <c r="I187" i="83" s="1"/>
  <c r="F93" i="83"/>
  <c r="N66" i="83" s="1"/>
  <c r="N64" i="83" s="1"/>
  <c r="G187" i="83" s="1"/>
  <c r="E93" i="83"/>
  <c r="M66" i="83" s="1"/>
  <c r="M64" i="83" s="1"/>
  <c r="E187" i="83" s="1"/>
  <c r="I58" i="83"/>
  <c r="J58" i="83" s="1"/>
  <c r="F58" i="83"/>
  <c r="I57" i="83"/>
  <c r="J57" i="83" s="1"/>
  <c r="F57" i="83"/>
  <c r="I54" i="83"/>
  <c r="J54" i="83" s="1"/>
  <c r="F54" i="83"/>
  <c r="I53" i="83"/>
  <c r="J53" i="83" s="1"/>
  <c r="F53" i="83"/>
  <c r="I52" i="83"/>
  <c r="J52" i="83" s="1"/>
  <c r="F52" i="83"/>
  <c r="I49" i="83"/>
  <c r="J49" i="83" s="1"/>
  <c r="I48" i="83"/>
  <c r="J48" i="83" s="1"/>
  <c r="I47" i="83"/>
  <c r="J47" i="83" s="1"/>
  <c r="I46" i="83"/>
  <c r="J46" i="83" s="1"/>
  <c r="I45" i="83"/>
  <c r="J45" i="83" s="1"/>
  <c r="I44" i="83"/>
  <c r="J44" i="83" s="1"/>
  <c r="K44" i="83"/>
  <c r="L44" i="83" s="1"/>
  <c r="I43" i="83"/>
  <c r="J43" i="83" s="1"/>
  <c r="K43" i="83" s="1"/>
  <c r="L43" i="83" s="1"/>
  <c r="I42" i="83"/>
  <c r="J42" i="83" s="1"/>
  <c r="I41" i="83"/>
  <c r="J41" i="83" s="1"/>
  <c r="I40" i="83"/>
  <c r="J40" i="83" s="1"/>
  <c r="I39" i="83"/>
  <c r="J39" i="83" s="1"/>
  <c r="I38" i="83"/>
  <c r="J38" i="83" s="1"/>
  <c r="K38" i="83" s="1"/>
  <c r="L38" i="83" s="1"/>
  <c r="I37" i="83"/>
  <c r="J37" i="83" s="1"/>
  <c r="K37" i="83" s="1"/>
  <c r="L37" i="83" s="1"/>
  <c r="I36" i="83"/>
  <c r="J36" i="83" s="1"/>
  <c r="I35" i="83"/>
  <c r="J35" i="83" s="1"/>
  <c r="I34" i="83"/>
  <c r="J34" i="83" s="1"/>
  <c r="I33" i="83"/>
  <c r="J33" i="83" s="1"/>
  <c r="F33" i="83"/>
  <c r="I32" i="83"/>
  <c r="J32" i="83" s="1"/>
  <c r="F32" i="83"/>
  <c r="K32" i="83" s="1"/>
  <c r="L32" i="83" s="1"/>
  <c r="P8" i="83"/>
  <c r="O8" i="83"/>
  <c r="N8" i="83"/>
  <c r="M8" i="83"/>
  <c r="L8" i="83"/>
  <c r="K8" i="83"/>
  <c r="J8" i="83"/>
  <c r="I8" i="83"/>
  <c r="H8" i="83"/>
  <c r="G8" i="83"/>
  <c r="F8" i="83"/>
  <c r="E8" i="83"/>
  <c r="C189" i="79"/>
  <c r="I149" i="79"/>
  <c r="P140" i="79" s="1"/>
  <c r="H149" i="79"/>
  <c r="G149" i="79"/>
  <c r="I189" i="79" s="1"/>
  <c r="G11" i="84" s="1"/>
  <c r="G29" i="84" s="1"/>
  <c r="F149" i="79"/>
  <c r="M140" i="79" s="1"/>
  <c r="E149" i="79"/>
  <c r="P139" i="79"/>
  <c r="M192" i="79" s="1"/>
  <c r="K43" i="84" s="1"/>
  <c r="O139" i="79"/>
  <c r="K192" i="79" s="1"/>
  <c r="I43" i="84" s="1"/>
  <c r="N139" i="79"/>
  <c r="I192" i="79" s="1"/>
  <c r="G43" i="84" s="1"/>
  <c r="M139" i="79"/>
  <c r="G192" i="79" s="1"/>
  <c r="E43" i="84" s="1"/>
  <c r="L139" i="79"/>
  <c r="E192" i="79" s="1"/>
  <c r="C43" i="84" s="1"/>
  <c r="I131" i="79"/>
  <c r="J131" i="79" s="1"/>
  <c r="F131" i="79"/>
  <c r="I130" i="79"/>
  <c r="J130" i="79" s="1"/>
  <c r="F130" i="79"/>
  <c r="I129" i="79"/>
  <c r="J129" i="79" s="1"/>
  <c r="F129" i="79"/>
  <c r="I128" i="79"/>
  <c r="J128" i="79" s="1"/>
  <c r="F128" i="79"/>
  <c r="I127" i="79"/>
  <c r="J127" i="79" s="1"/>
  <c r="F127" i="79"/>
  <c r="I126" i="79"/>
  <c r="J126" i="79" s="1"/>
  <c r="F126" i="79"/>
  <c r="I125" i="79"/>
  <c r="J125" i="79" s="1"/>
  <c r="F125" i="79"/>
  <c r="I124" i="79"/>
  <c r="J124" i="79" s="1"/>
  <c r="H124" i="79"/>
  <c r="H125" i="79" s="1"/>
  <c r="H126" i="79" s="1"/>
  <c r="H127" i="79" s="1"/>
  <c r="H128" i="79" s="1"/>
  <c r="H129" i="79" s="1"/>
  <c r="H130" i="79" s="1"/>
  <c r="H131" i="79" s="1"/>
  <c r="G124" i="79"/>
  <c r="G125" i="79" s="1"/>
  <c r="G126" i="79" s="1"/>
  <c r="G127" i="79" s="1"/>
  <c r="G128" i="79" s="1"/>
  <c r="G129" i="79" s="1"/>
  <c r="G130" i="79" s="1"/>
  <c r="G131" i="79" s="1"/>
  <c r="F124" i="79"/>
  <c r="I123" i="79"/>
  <c r="J123" i="79" s="1"/>
  <c r="F123" i="79"/>
  <c r="T113" i="79"/>
  <c r="T112" i="79"/>
  <c r="T111" i="79"/>
  <c r="D87" i="79"/>
  <c r="D79" i="79"/>
  <c r="D68" i="79"/>
  <c r="D49" i="79"/>
  <c r="D30" i="79"/>
  <c r="P8" i="79"/>
  <c r="P66" i="79" s="1"/>
  <c r="P67" i="79" s="1"/>
  <c r="O8" i="79"/>
  <c r="O28" i="79" s="1"/>
  <c r="N8" i="79"/>
  <c r="N28" i="79" s="1"/>
  <c r="N29" i="79" s="1"/>
  <c r="M8" i="79"/>
  <c r="M28" i="79" s="1"/>
  <c r="M29" i="79" s="1"/>
  <c r="L8" i="79"/>
  <c r="K8" i="79"/>
  <c r="J8" i="79"/>
  <c r="J66" i="79" s="1"/>
  <c r="I8" i="79"/>
  <c r="H8" i="79"/>
  <c r="H66" i="79" s="1"/>
  <c r="H67" i="79" s="1"/>
  <c r="G8" i="79"/>
  <c r="G28" i="79" s="1"/>
  <c r="F8" i="79"/>
  <c r="F28" i="79" s="1"/>
  <c r="F29" i="79" s="1"/>
  <c r="E8" i="79"/>
  <c r="E28" i="79" s="1"/>
  <c r="E29" i="79" s="1"/>
  <c r="E7" i="79"/>
  <c r="M175" i="78"/>
  <c r="K148" i="78"/>
  <c r="J148" i="78"/>
  <c r="Q133" i="78" s="1"/>
  <c r="I148" i="78"/>
  <c r="K205" i="78" s="1"/>
  <c r="G9" i="84" s="1"/>
  <c r="H148" i="78"/>
  <c r="I205" i="78" s="1"/>
  <c r="E9" i="84" s="1"/>
  <c r="G148" i="78"/>
  <c r="G205" i="78" s="1"/>
  <c r="C9" i="84" s="1"/>
  <c r="R132" i="78"/>
  <c r="O208" i="78" s="1"/>
  <c r="K40" i="84" s="1"/>
  <c r="Q132" i="78"/>
  <c r="M208" i="78" s="1"/>
  <c r="I40" i="84" s="1"/>
  <c r="P132" i="78"/>
  <c r="K208" i="78" s="1"/>
  <c r="G40" i="84" s="1"/>
  <c r="O132" i="78"/>
  <c r="I208" i="78" s="1"/>
  <c r="E40" i="84" s="1"/>
  <c r="N132" i="78"/>
  <c r="G208" i="78" s="1"/>
  <c r="C40" i="84" s="1"/>
  <c r="K115" i="78"/>
  <c r="L115" i="78" s="1"/>
  <c r="H115" i="78"/>
  <c r="K114" i="78"/>
  <c r="L114" i="78" s="1"/>
  <c r="H114" i="78"/>
  <c r="K113" i="78"/>
  <c r="L113" i="78" s="1"/>
  <c r="H113" i="78"/>
  <c r="K112" i="78"/>
  <c r="L112" i="78" s="1"/>
  <c r="H112" i="78"/>
  <c r="K111" i="78"/>
  <c r="L111" i="78" s="1"/>
  <c r="I115" i="78"/>
  <c r="H111" i="78"/>
  <c r="K110" i="78"/>
  <c r="L110" i="78" s="1"/>
  <c r="H110" i="78"/>
  <c r="G91" i="78"/>
  <c r="E2" i="78"/>
  <c r="G92" i="78"/>
  <c r="E9" i="85"/>
  <c r="H92" i="78"/>
  <c r="S7" i="78"/>
  <c r="H6" i="78"/>
  <c r="I6" i="78" s="1"/>
  <c r="J6" i="78" s="1"/>
  <c r="D120" i="77"/>
  <c r="G120" i="77" s="1"/>
  <c r="J120" i="77" s="1"/>
  <c r="M120" i="77" s="1"/>
  <c r="P120" i="77" s="1"/>
  <c r="D119" i="77"/>
  <c r="D118" i="77"/>
  <c r="G118" i="77" s="1"/>
  <c r="J118" i="77" s="1"/>
  <c r="M118" i="77" s="1"/>
  <c r="P118" i="77" s="1"/>
  <c r="G96" i="77"/>
  <c r="G95" i="77"/>
  <c r="G5" i="77"/>
  <c r="J5" i="77" s="1"/>
  <c r="M5" i="77" s="1"/>
  <c r="P5" i="77" s="1"/>
  <c r="M115" i="78" l="1"/>
  <c r="N115" i="78" s="1"/>
  <c r="M114" i="78"/>
  <c r="N114" i="78" s="1"/>
  <c r="M112" i="78"/>
  <c r="N112" i="78" s="1"/>
  <c r="K57" i="83"/>
  <c r="L57" i="83" s="1"/>
  <c r="M185" i="83"/>
  <c r="K58" i="83"/>
  <c r="L58" i="83" s="1"/>
  <c r="O58" i="83" s="1"/>
  <c r="M110" i="78"/>
  <c r="N110" i="78" s="1"/>
  <c r="Q110" i="78" s="1"/>
  <c r="E143" i="83"/>
  <c r="J96" i="77"/>
  <c r="T24" i="78"/>
  <c r="T26" i="78"/>
  <c r="T25" i="78"/>
  <c r="T28" i="78"/>
  <c r="T27" i="78"/>
  <c r="T29" i="78"/>
  <c r="S42" i="78"/>
  <c r="S78" i="78" s="1"/>
  <c r="U78" i="78" s="1"/>
  <c r="S43" i="78"/>
  <c r="S79" i="78" s="1"/>
  <c r="U79" i="78" s="1"/>
  <c r="S39" i="78"/>
  <c r="S75" i="78" s="1"/>
  <c r="U75" i="78" s="1"/>
  <c r="S44" i="78"/>
  <c r="S41" i="78"/>
  <c r="S77" i="78" s="1"/>
  <c r="U77" i="78" s="1"/>
  <c r="S40" i="78"/>
  <c r="S76" i="78" s="1"/>
  <c r="U76" i="78" s="1"/>
  <c r="K15" i="84"/>
  <c r="K31" i="84" s="1"/>
  <c r="K52" i="84"/>
  <c r="P22" i="77" s="1"/>
  <c r="C52" i="84"/>
  <c r="I52" i="84"/>
  <c r="M22" i="77" s="1"/>
  <c r="G52" i="84"/>
  <c r="J22" i="77" s="1"/>
  <c r="E52" i="84"/>
  <c r="G22" i="77" s="1"/>
  <c r="D41" i="77"/>
  <c r="H13" i="84"/>
  <c r="H30" i="84" s="1"/>
  <c r="J41" i="77"/>
  <c r="J13" i="84"/>
  <c r="J30" i="84" s="1"/>
  <c r="M41" i="77"/>
  <c r="F9" i="85"/>
  <c r="G9" i="85"/>
  <c r="M8" i="78"/>
  <c r="L9" i="78"/>
  <c r="L45" i="78" s="1"/>
  <c r="Q131" i="78"/>
  <c r="M207" i="78" s="1"/>
  <c r="M209" i="78" s="1"/>
  <c r="C8" i="83"/>
  <c r="F13" i="84"/>
  <c r="F30" i="84" s="1"/>
  <c r="E96" i="85"/>
  <c r="E103" i="85" s="1"/>
  <c r="D13" i="84"/>
  <c r="L120" i="85"/>
  <c r="J120" i="85"/>
  <c r="F120" i="85"/>
  <c r="H120" i="85"/>
  <c r="G33" i="77"/>
  <c r="M205" i="78"/>
  <c r="I9" i="84" s="1"/>
  <c r="I28" i="84" s="1"/>
  <c r="O133" i="78"/>
  <c r="O131" i="78" s="1"/>
  <c r="I207" i="78" s="1"/>
  <c r="I209" i="78" s="1"/>
  <c r="P47" i="79"/>
  <c r="P48" i="79" s="1"/>
  <c r="K123" i="79"/>
  <c r="L123" i="79" s="1"/>
  <c r="O123" i="79" s="1"/>
  <c r="K39" i="83"/>
  <c r="L39" i="83" s="1"/>
  <c r="O39" i="83" s="1"/>
  <c r="K52" i="83"/>
  <c r="L52" i="83" s="1"/>
  <c r="O52" i="83" s="1"/>
  <c r="K36" i="83"/>
  <c r="L36" i="83" s="1"/>
  <c r="M36" i="83" s="1"/>
  <c r="F102" i="83" s="1"/>
  <c r="K40" i="83"/>
  <c r="L40" i="83" s="1"/>
  <c r="M40" i="83" s="1"/>
  <c r="G106" i="83" s="1"/>
  <c r="K47" i="83"/>
  <c r="L47" i="83" s="1"/>
  <c r="O47" i="83" s="1"/>
  <c r="K53" i="83"/>
  <c r="L53" i="83" s="1"/>
  <c r="O53" i="83" s="1"/>
  <c r="K33" i="83"/>
  <c r="K41" i="83"/>
  <c r="L41" i="83" s="1"/>
  <c r="O41" i="83" s="1"/>
  <c r="K42" i="83"/>
  <c r="L42" i="83" s="1"/>
  <c r="O42" i="83" s="1"/>
  <c r="K49" i="83"/>
  <c r="L49" i="83" s="1"/>
  <c r="M49" i="83" s="1"/>
  <c r="C31" i="84"/>
  <c r="I31" i="84"/>
  <c r="M44" i="83"/>
  <c r="F110" i="83" s="1"/>
  <c r="O44" i="83"/>
  <c r="K48" i="83"/>
  <c r="L48" i="83" s="1"/>
  <c r="K54" i="83"/>
  <c r="L54" i="83" s="1"/>
  <c r="K35" i="83"/>
  <c r="L35" i="83" s="1"/>
  <c r="E185" i="83"/>
  <c r="K45" i="83"/>
  <c r="L45" i="83" s="1"/>
  <c r="M45" i="83" s="1"/>
  <c r="I185" i="83"/>
  <c r="K185" i="83"/>
  <c r="K34" i="83"/>
  <c r="L34" i="83" s="1"/>
  <c r="O34" i="83" s="1"/>
  <c r="G31" i="84"/>
  <c r="K46" i="83"/>
  <c r="L46" i="83" s="1"/>
  <c r="O46" i="83" s="1"/>
  <c r="G21" i="84"/>
  <c r="K47" i="79"/>
  <c r="K48" i="79" s="1"/>
  <c r="P138" i="79"/>
  <c r="M191" i="79" s="1"/>
  <c r="K42" i="84" s="1"/>
  <c r="N133" i="78"/>
  <c r="N131" i="78" s="1"/>
  <c r="G207" i="78" s="1"/>
  <c r="C39" i="84" s="1"/>
  <c r="M111" i="78"/>
  <c r="N111" i="78" s="1"/>
  <c r="O111" i="78" s="1"/>
  <c r="Q112" i="78"/>
  <c r="P28" i="79"/>
  <c r="P29" i="79" s="1"/>
  <c r="D10" i="77"/>
  <c r="Q8" i="83"/>
  <c r="O30" i="79"/>
  <c r="G30" i="79"/>
  <c r="N30" i="79"/>
  <c r="L47" i="79"/>
  <c r="L48" i="79" s="1"/>
  <c r="H47" i="79"/>
  <c r="H48" i="79" s="1"/>
  <c r="E30" i="79"/>
  <c r="M189" i="79"/>
  <c r="K11" i="84" s="1"/>
  <c r="K29" i="84" s="1"/>
  <c r="H28" i="79"/>
  <c r="H30" i="79" s="1"/>
  <c r="F30" i="79"/>
  <c r="K28" i="79"/>
  <c r="K29" i="79" s="1"/>
  <c r="L66" i="79"/>
  <c r="L67" i="79" s="1"/>
  <c r="L28" i="79"/>
  <c r="L29" i="79" s="1"/>
  <c r="M66" i="79"/>
  <c r="M67" i="79" s="1"/>
  <c r="M138" i="79"/>
  <c r="G191" i="79" s="1"/>
  <c r="E42" i="84" s="1"/>
  <c r="O47" i="79"/>
  <c r="O48" i="79" s="1"/>
  <c r="G47" i="79"/>
  <c r="G48" i="79" s="1"/>
  <c r="K124" i="79"/>
  <c r="L124" i="79" s="1"/>
  <c r="G29" i="79"/>
  <c r="M85" i="79"/>
  <c r="M86" i="79" s="1"/>
  <c r="O205" i="78"/>
  <c r="K9" i="84" s="1"/>
  <c r="R133" i="78"/>
  <c r="R131" i="78" s="1"/>
  <c r="O207" i="78" s="1"/>
  <c r="J95" i="77"/>
  <c r="G9" i="83"/>
  <c r="G9" i="79"/>
  <c r="H91" i="78"/>
  <c r="I47" i="79"/>
  <c r="I48" i="79" s="1"/>
  <c r="I66" i="79"/>
  <c r="I67" i="79" s="1"/>
  <c r="I28" i="79"/>
  <c r="Q8" i="79"/>
  <c r="E9" i="83"/>
  <c r="E9" i="79"/>
  <c r="N113" i="78"/>
  <c r="F9" i="83"/>
  <c r="F9" i="79"/>
  <c r="P133" i="78"/>
  <c r="P131" i="78" s="1"/>
  <c r="K207" i="78" s="1"/>
  <c r="J68" i="79"/>
  <c r="J67" i="79"/>
  <c r="N66" i="79"/>
  <c r="K129" i="79"/>
  <c r="L129" i="79" s="1"/>
  <c r="O129" i="79" s="1"/>
  <c r="F7" i="79"/>
  <c r="M30" i="79"/>
  <c r="K125" i="79"/>
  <c r="L125" i="79" s="1"/>
  <c r="O125" i="79" s="1"/>
  <c r="K128" i="79"/>
  <c r="L128" i="79" s="1"/>
  <c r="O128" i="79" s="1"/>
  <c r="G7" i="79"/>
  <c r="C28" i="84"/>
  <c r="E85" i="79"/>
  <c r="H7" i="79"/>
  <c r="E66" i="79"/>
  <c r="E68" i="79" s="1"/>
  <c r="K6" i="78"/>
  <c r="G28" i="84"/>
  <c r="O29" i="79"/>
  <c r="N47" i="79"/>
  <c r="N48" i="79" s="1"/>
  <c r="F66" i="79"/>
  <c r="G182" i="78"/>
  <c r="E28" i="84"/>
  <c r="L85" i="79"/>
  <c r="L86" i="79" s="1"/>
  <c r="K85" i="79"/>
  <c r="K86" i="79" s="1"/>
  <c r="J85" i="79"/>
  <c r="I85" i="79"/>
  <c r="P85" i="79"/>
  <c r="P86" i="79" s="1"/>
  <c r="H85" i="79"/>
  <c r="H86" i="79" s="1"/>
  <c r="O85" i="79"/>
  <c r="O86" i="79" s="1"/>
  <c r="G85" i="79"/>
  <c r="G86" i="79" s="1"/>
  <c r="N85" i="79"/>
  <c r="N86" i="79" s="1"/>
  <c r="F85" i="79"/>
  <c r="F86" i="79" s="1"/>
  <c r="K131" i="79"/>
  <c r="L131" i="79" s="1"/>
  <c r="O131" i="79" s="1"/>
  <c r="L140" i="79"/>
  <c r="L138" i="79" s="1"/>
  <c r="E191" i="79" s="1"/>
  <c r="E189" i="79"/>
  <c r="C11" i="84" s="1"/>
  <c r="C29" i="84" s="1"/>
  <c r="J28" i="79"/>
  <c r="G66" i="79"/>
  <c r="G67" i="79" s="1"/>
  <c r="O66" i="79"/>
  <c r="O67" i="79" s="1"/>
  <c r="J47" i="79"/>
  <c r="J48" i="79" s="1"/>
  <c r="K127" i="79"/>
  <c r="L127" i="79" s="1"/>
  <c r="O127" i="79" s="1"/>
  <c r="K130" i="79"/>
  <c r="L130" i="79" s="1"/>
  <c r="O130" i="79" s="1"/>
  <c r="K189" i="79"/>
  <c r="I11" i="84" s="1"/>
  <c r="I29" i="84" s="1"/>
  <c r="O140" i="79"/>
  <c r="O138" i="79" s="1"/>
  <c r="K191" i="79" s="1"/>
  <c r="K126" i="79"/>
  <c r="L126" i="79" s="1"/>
  <c r="O126" i="79" s="1"/>
  <c r="G189" i="79"/>
  <c r="E11" i="84" s="1"/>
  <c r="E29" i="84" s="1"/>
  <c r="E47" i="79"/>
  <c r="M47" i="79"/>
  <c r="M48" i="79" s="1"/>
  <c r="K66" i="79"/>
  <c r="H68" i="79"/>
  <c r="P68" i="79"/>
  <c r="F47" i="79"/>
  <c r="F48" i="79" s="1"/>
  <c r="N140" i="79"/>
  <c r="N138" i="79" s="1"/>
  <c r="I191" i="79" s="1"/>
  <c r="O43" i="83"/>
  <c r="M43" i="83"/>
  <c r="O57" i="83"/>
  <c r="M57" i="83"/>
  <c r="I48" i="84"/>
  <c r="I47" i="84" s="1"/>
  <c r="K189" i="83"/>
  <c r="M189" i="83"/>
  <c r="K48" i="84"/>
  <c r="K47" i="84" s="1"/>
  <c r="O37" i="83"/>
  <c r="M37" i="83"/>
  <c r="M58" i="83"/>
  <c r="O38" i="83"/>
  <c r="M38" i="83"/>
  <c r="E31" i="84"/>
  <c r="M32" i="83"/>
  <c r="E98" i="83" s="1"/>
  <c r="O32" i="83"/>
  <c r="G48" i="84"/>
  <c r="G47" i="84" s="1"/>
  <c r="I189" i="83"/>
  <c r="E106" i="83"/>
  <c r="H106" i="83"/>
  <c r="O36" i="83"/>
  <c r="C48" i="84"/>
  <c r="C47" i="84" s="1"/>
  <c r="E189" i="83"/>
  <c r="E48" i="84"/>
  <c r="E47" i="84" s="1"/>
  <c r="G189" i="83"/>
  <c r="H110" i="83"/>
  <c r="G185" i="83"/>
  <c r="M47" i="83" l="1"/>
  <c r="I113" i="83" s="1"/>
  <c r="E110" i="83"/>
  <c r="I106" i="83"/>
  <c r="G102" i="83"/>
  <c r="I102" i="83"/>
  <c r="E102" i="83"/>
  <c r="M53" i="83"/>
  <c r="M124" i="79"/>
  <c r="I154" i="79" s="1"/>
  <c r="O124" i="79"/>
  <c r="H102" i="83"/>
  <c r="F106" i="83"/>
  <c r="O40" i="83"/>
  <c r="M52" i="83"/>
  <c r="I118" i="83" s="1"/>
  <c r="O49" i="83"/>
  <c r="O45" i="83"/>
  <c r="G113" i="83"/>
  <c r="E113" i="83"/>
  <c r="M42" i="83"/>
  <c r="E108" i="83" s="1"/>
  <c r="L33" i="83"/>
  <c r="O33" i="83" s="1"/>
  <c r="G10" i="77"/>
  <c r="M96" i="77"/>
  <c r="K41" i="84"/>
  <c r="E41" i="84"/>
  <c r="I39" i="84"/>
  <c r="I38" i="84" s="1"/>
  <c r="N8" i="78"/>
  <c r="M9" i="78"/>
  <c r="M45" i="78" s="1"/>
  <c r="I91" i="78"/>
  <c r="J90" i="78"/>
  <c r="I92" i="78"/>
  <c r="O110" i="78"/>
  <c r="I152" i="78" s="1"/>
  <c r="H29" i="79"/>
  <c r="I49" i="79"/>
  <c r="P30" i="79"/>
  <c r="D30" i="84"/>
  <c r="N13" i="84"/>
  <c r="D22" i="77"/>
  <c r="J33" i="77"/>
  <c r="E39" i="84"/>
  <c r="E38" i="84" s="1"/>
  <c r="G209" i="78"/>
  <c r="Q111" i="78"/>
  <c r="O112" i="78"/>
  <c r="L30" i="79"/>
  <c r="M123" i="79"/>
  <c r="G153" i="79" s="1"/>
  <c r="M87" i="79"/>
  <c r="P49" i="79"/>
  <c r="M39" i="83"/>
  <c r="M41" i="83"/>
  <c r="E107" i="83" s="1"/>
  <c r="M54" i="83"/>
  <c r="O54" i="83"/>
  <c r="M46" i="83"/>
  <c r="G112" i="83" s="1"/>
  <c r="F113" i="83"/>
  <c r="G110" i="83"/>
  <c r="H113" i="83"/>
  <c r="M48" i="83"/>
  <c r="O48" i="83"/>
  <c r="M34" i="83"/>
  <c r="I100" i="83" s="1"/>
  <c r="I110" i="83"/>
  <c r="O35" i="83"/>
  <c r="M35" i="83"/>
  <c r="G32" i="84"/>
  <c r="M193" i="79"/>
  <c r="M68" i="79"/>
  <c r="K49" i="79"/>
  <c r="E21" i="84"/>
  <c r="G193" i="79"/>
  <c r="H49" i="79"/>
  <c r="K87" i="79"/>
  <c r="K30" i="79"/>
  <c r="O68" i="79"/>
  <c r="H87" i="79"/>
  <c r="G87" i="79"/>
  <c r="L49" i="79"/>
  <c r="I68" i="79"/>
  <c r="L68" i="79"/>
  <c r="F49" i="79"/>
  <c r="G49" i="79"/>
  <c r="F87" i="79"/>
  <c r="O49" i="79"/>
  <c r="M49" i="79"/>
  <c r="H9" i="85"/>
  <c r="J92" i="78"/>
  <c r="J91" i="78"/>
  <c r="M132" i="79"/>
  <c r="G104" i="83"/>
  <c r="F104" i="83"/>
  <c r="E104" i="83"/>
  <c r="I104" i="83"/>
  <c r="H104" i="83"/>
  <c r="J49" i="79"/>
  <c r="M95" i="77"/>
  <c r="I98" i="83"/>
  <c r="H98" i="83"/>
  <c r="F98" i="83"/>
  <c r="G98" i="83"/>
  <c r="G68" i="79"/>
  <c r="N67" i="79"/>
  <c r="N68" i="79"/>
  <c r="Q117" i="78"/>
  <c r="G154" i="79"/>
  <c r="E154" i="79"/>
  <c r="F154" i="79"/>
  <c r="H103" i="83"/>
  <c r="G103" i="83"/>
  <c r="I103" i="83"/>
  <c r="F103" i="83"/>
  <c r="E103" i="83"/>
  <c r="G42" i="84"/>
  <c r="I193" i="79"/>
  <c r="O87" i="79"/>
  <c r="I7" i="79"/>
  <c r="L6" i="78"/>
  <c r="E86" i="79"/>
  <c r="Q85" i="79"/>
  <c r="Q86" i="79" s="1"/>
  <c r="E87" i="79"/>
  <c r="P87" i="79"/>
  <c r="Q115" i="78"/>
  <c r="O115" i="78"/>
  <c r="M129" i="79"/>
  <c r="I32" i="84"/>
  <c r="F109" i="83"/>
  <c r="E109" i="83"/>
  <c r="I109" i="83"/>
  <c r="G109" i="83"/>
  <c r="H109" i="83"/>
  <c r="M130" i="79"/>
  <c r="M127" i="79"/>
  <c r="J29" i="79"/>
  <c r="J30" i="79"/>
  <c r="N49" i="79"/>
  <c r="E32" i="84"/>
  <c r="E67" i="79"/>
  <c r="Q66" i="79"/>
  <c r="Q67" i="79" s="1"/>
  <c r="G39" i="84"/>
  <c r="K209" i="78"/>
  <c r="I29" i="79"/>
  <c r="I30" i="79"/>
  <c r="Q28" i="79"/>
  <c r="Q29" i="79" s="1"/>
  <c r="C38" i="84"/>
  <c r="I21" i="84"/>
  <c r="K39" i="84"/>
  <c r="K51" i="84" s="1"/>
  <c r="K50" i="84" s="1"/>
  <c r="O209" i="78"/>
  <c r="E48" i="79"/>
  <c r="Q47" i="79"/>
  <c r="Q48" i="79" s="1"/>
  <c r="E49" i="79"/>
  <c r="J86" i="79"/>
  <c r="J87" i="79"/>
  <c r="G124" i="83"/>
  <c r="F124" i="83"/>
  <c r="E124" i="83"/>
  <c r="I124" i="83"/>
  <c r="H124" i="83"/>
  <c r="H123" i="83"/>
  <c r="G123" i="83"/>
  <c r="F123" i="83"/>
  <c r="I123" i="83"/>
  <c r="E123" i="83"/>
  <c r="H111" i="83"/>
  <c r="G111" i="83"/>
  <c r="I111" i="83"/>
  <c r="E111" i="83"/>
  <c r="F111" i="83"/>
  <c r="M126" i="79"/>
  <c r="L87" i="79"/>
  <c r="C32" i="84"/>
  <c r="C21" i="84"/>
  <c r="Q113" i="78"/>
  <c r="O113" i="78"/>
  <c r="H153" i="78"/>
  <c r="G153" i="78"/>
  <c r="K153" i="78"/>
  <c r="J153" i="78"/>
  <c r="I153" i="78"/>
  <c r="K28" i="84"/>
  <c r="K21" i="84"/>
  <c r="A1" i="84"/>
  <c r="F119" i="83"/>
  <c r="E119" i="83"/>
  <c r="I119" i="83"/>
  <c r="H119" i="83"/>
  <c r="G119" i="83"/>
  <c r="K67" i="79"/>
  <c r="K68" i="79"/>
  <c r="N87" i="79"/>
  <c r="I42" i="84"/>
  <c r="K193" i="79"/>
  <c r="C42" i="84"/>
  <c r="E193" i="79"/>
  <c r="M128" i="79"/>
  <c r="O114" i="78"/>
  <c r="Q114" i="78"/>
  <c r="H115" i="83"/>
  <c r="G115" i="83"/>
  <c r="F115" i="83"/>
  <c r="E115" i="83"/>
  <c r="I115" i="83"/>
  <c r="M131" i="79"/>
  <c r="I87" i="79"/>
  <c r="I86" i="79"/>
  <c r="F67" i="79"/>
  <c r="F68" i="79"/>
  <c r="M125" i="79"/>
  <c r="H108" i="83" l="1"/>
  <c r="F108" i="83"/>
  <c r="H154" i="79"/>
  <c r="E118" i="83"/>
  <c r="H118" i="83"/>
  <c r="F118" i="83"/>
  <c r="G118" i="83"/>
  <c r="K154" i="78"/>
  <c r="H154" i="78"/>
  <c r="J10" i="77"/>
  <c r="G12" i="77"/>
  <c r="G108" i="83"/>
  <c r="I108" i="83"/>
  <c r="M33" i="83"/>
  <c r="H153" i="79"/>
  <c r="I153" i="79"/>
  <c r="E153" i="79"/>
  <c r="F153" i="79"/>
  <c r="P96" i="77"/>
  <c r="L184" i="83"/>
  <c r="J19" i="84" s="1"/>
  <c r="E51" i="84"/>
  <c r="E50" i="84" s="1"/>
  <c r="F50" i="84"/>
  <c r="C41" i="84"/>
  <c r="D50" i="84" s="1"/>
  <c r="C51" i="84"/>
  <c r="I41" i="84"/>
  <c r="J50" i="84" s="1"/>
  <c r="I51" i="84"/>
  <c r="I50" i="84" s="1"/>
  <c r="G41" i="84"/>
  <c r="G51" i="84"/>
  <c r="G50" i="84" s="1"/>
  <c r="O8" i="78"/>
  <c r="N9" i="78"/>
  <c r="N45" i="78" s="1"/>
  <c r="I90" i="78"/>
  <c r="H90" i="78"/>
  <c r="L91" i="78"/>
  <c r="H10" i="78"/>
  <c r="K90" i="78"/>
  <c r="H152" i="78"/>
  <c r="J152" i="78"/>
  <c r="K152" i="78"/>
  <c r="G152" i="78"/>
  <c r="J154" i="78"/>
  <c r="G154" i="78"/>
  <c r="I154" i="78"/>
  <c r="M33" i="77"/>
  <c r="G105" i="83"/>
  <c r="H105" i="83"/>
  <c r="I107" i="83"/>
  <c r="F107" i="83"/>
  <c r="F105" i="83"/>
  <c r="G107" i="83"/>
  <c r="E105" i="83"/>
  <c r="H107" i="83"/>
  <c r="I105" i="83"/>
  <c r="O60" i="83"/>
  <c r="E100" i="83"/>
  <c r="H101" i="83"/>
  <c r="G101" i="83"/>
  <c r="F101" i="83"/>
  <c r="E101" i="83"/>
  <c r="I101" i="83"/>
  <c r="F114" i="83"/>
  <c r="G114" i="83"/>
  <c r="I114" i="83"/>
  <c r="E114" i="83"/>
  <c r="H114" i="83"/>
  <c r="I112" i="83"/>
  <c r="H100" i="83"/>
  <c r="H112" i="83"/>
  <c r="E112" i="83"/>
  <c r="F112" i="83"/>
  <c r="H184" i="83"/>
  <c r="F19" i="84" s="1"/>
  <c r="G100" i="83"/>
  <c r="F100" i="83"/>
  <c r="F120" i="83"/>
  <c r="H183" i="83" s="1"/>
  <c r="G120" i="83"/>
  <c r="J183" i="83" s="1"/>
  <c r="E120" i="83"/>
  <c r="F183" i="83" s="1"/>
  <c r="I120" i="83"/>
  <c r="N183" i="83" s="1"/>
  <c r="H120" i="83"/>
  <c r="L183" i="83" s="1"/>
  <c r="K32" i="84"/>
  <c r="Q30" i="79"/>
  <c r="Q68" i="79"/>
  <c r="O134" i="79"/>
  <c r="K91" i="78"/>
  <c r="I9" i="85"/>
  <c r="K92" i="78"/>
  <c r="H9" i="79"/>
  <c r="H9" i="83"/>
  <c r="I156" i="78"/>
  <c r="H156" i="78"/>
  <c r="G156" i="78"/>
  <c r="K156" i="78"/>
  <c r="J156" i="78"/>
  <c r="Q87" i="79"/>
  <c r="I162" i="79"/>
  <c r="H162" i="79"/>
  <c r="G162" i="79"/>
  <c r="E162" i="79"/>
  <c r="F162" i="79"/>
  <c r="G99" i="78"/>
  <c r="G63" i="78" s="1"/>
  <c r="G10" i="78"/>
  <c r="G45" i="78"/>
  <c r="K155" i="78"/>
  <c r="J155" i="78"/>
  <c r="I155" i="78"/>
  <c r="H155" i="78"/>
  <c r="G155" i="78"/>
  <c r="M91" i="78"/>
  <c r="G158" i="78"/>
  <c r="K158" i="78"/>
  <c r="J158" i="78"/>
  <c r="I158" i="78"/>
  <c r="H158" i="78"/>
  <c r="F184" i="83"/>
  <c r="E164" i="83"/>
  <c r="G38" i="84"/>
  <c r="I157" i="79"/>
  <c r="H157" i="79"/>
  <c r="F157" i="79"/>
  <c r="G157" i="79"/>
  <c r="E157" i="79"/>
  <c r="J7" i="79"/>
  <c r="M6" i="78"/>
  <c r="G161" i="79"/>
  <c r="F161" i="79"/>
  <c r="E161" i="79"/>
  <c r="I161" i="79"/>
  <c r="H161" i="79"/>
  <c r="H156" i="79"/>
  <c r="G156" i="79"/>
  <c r="F156" i="79"/>
  <c r="E156" i="79"/>
  <c r="I156" i="79"/>
  <c r="N184" i="83"/>
  <c r="Q49" i="79"/>
  <c r="K157" i="78"/>
  <c r="J157" i="78"/>
  <c r="I157" i="78"/>
  <c r="H157" i="78"/>
  <c r="G157" i="78"/>
  <c r="K38" i="84"/>
  <c r="L50" i="84" s="1"/>
  <c r="P95" i="77"/>
  <c r="E155" i="79"/>
  <c r="H155" i="79"/>
  <c r="I155" i="79"/>
  <c r="G155" i="79"/>
  <c r="F155" i="79"/>
  <c r="F158" i="79"/>
  <c r="E158" i="79"/>
  <c r="I158" i="79"/>
  <c r="H158" i="79"/>
  <c r="G158" i="79"/>
  <c r="J184" i="83"/>
  <c r="I160" i="79"/>
  <c r="G160" i="79"/>
  <c r="H160" i="79"/>
  <c r="F160" i="79"/>
  <c r="E160" i="79"/>
  <c r="I159" i="79"/>
  <c r="H159" i="79"/>
  <c r="G159" i="79"/>
  <c r="F159" i="79"/>
  <c r="E159" i="79"/>
  <c r="E160" i="83" l="1"/>
  <c r="G81" i="78"/>
  <c r="S82" i="78" s="1"/>
  <c r="M10" i="77"/>
  <c r="E99" i="83"/>
  <c r="F182" i="83" s="1"/>
  <c r="D15" i="84" s="1"/>
  <c r="G99" i="83"/>
  <c r="J182" i="83" s="1"/>
  <c r="H15" i="84" s="1"/>
  <c r="H99" i="83"/>
  <c r="H126" i="83" s="1"/>
  <c r="I99" i="83"/>
  <c r="N182" i="83" s="1"/>
  <c r="P64" i="77" s="1"/>
  <c r="F99" i="83"/>
  <c r="H182" i="83" s="1"/>
  <c r="F15" i="84" s="1"/>
  <c r="M70" i="77"/>
  <c r="G70" i="77"/>
  <c r="H50" i="84"/>
  <c r="F10" i="85"/>
  <c r="H14" i="78"/>
  <c r="F14" i="85" s="1"/>
  <c r="F21" i="85" s="1"/>
  <c r="F22" i="85" s="1"/>
  <c r="F25" i="85" s="1"/>
  <c r="E10" i="85"/>
  <c r="G14" i="78"/>
  <c r="E14" i="85" s="1"/>
  <c r="E21" i="85" s="1"/>
  <c r="J9" i="85"/>
  <c r="P8" i="78"/>
  <c r="O9" i="78"/>
  <c r="O45" i="78" s="1"/>
  <c r="H99" i="78"/>
  <c r="H63" i="78" s="1"/>
  <c r="J99" i="78"/>
  <c r="H45" i="78"/>
  <c r="L92" i="78"/>
  <c r="L90" i="78"/>
  <c r="P33" i="77"/>
  <c r="H164" i="79"/>
  <c r="M40" i="77" s="1"/>
  <c r="F164" i="79"/>
  <c r="G40" i="77" s="1"/>
  <c r="G164" i="79"/>
  <c r="J40" i="77" s="1"/>
  <c r="E164" i="79"/>
  <c r="I164" i="79"/>
  <c r="P40" i="77" s="1"/>
  <c r="G21" i="77"/>
  <c r="G23" i="77" s="1"/>
  <c r="G141" i="77" s="1"/>
  <c r="J9" i="83"/>
  <c r="J9" i="79"/>
  <c r="I9" i="79"/>
  <c r="I9" i="83"/>
  <c r="L17" i="84"/>
  <c r="P67" i="77"/>
  <c r="J159" i="78"/>
  <c r="I159" i="78"/>
  <c r="H159" i="78"/>
  <c r="G159" i="78"/>
  <c r="K159" i="78"/>
  <c r="K99" i="78"/>
  <c r="J21" i="77"/>
  <c r="J23" i="77" s="1"/>
  <c r="J141" i="77" s="1"/>
  <c r="P21" i="77"/>
  <c r="P23" i="77" s="1"/>
  <c r="P141" i="77" s="1"/>
  <c r="K7" i="79"/>
  <c r="N6" i="78"/>
  <c r="H19" i="84"/>
  <c r="J70" i="77"/>
  <c r="F17" i="84"/>
  <c r="G67" i="77"/>
  <c r="F10" i="83"/>
  <c r="F11" i="83" s="1"/>
  <c r="F10" i="79"/>
  <c r="H11" i="78"/>
  <c r="F11" i="85" s="1"/>
  <c r="J17" i="84"/>
  <c r="M67" i="77"/>
  <c r="C50" i="84"/>
  <c r="D21" i="77"/>
  <c r="Q118" i="78"/>
  <c r="I99" i="78"/>
  <c r="N91" i="78"/>
  <c r="E10" i="83"/>
  <c r="E10" i="79"/>
  <c r="G11" i="78"/>
  <c r="E11" i="85" s="1"/>
  <c r="M21" i="77"/>
  <c r="M23" i="77" s="1"/>
  <c r="M141" i="77" s="1"/>
  <c r="L19" i="84"/>
  <c r="P70" i="77"/>
  <c r="I10" i="78"/>
  <c r="D19" i="84"/>
  <c r="N19" i="84" s="1"/>
  <c r="D70" i="77"/>
  <c r="D17" i="84"/>
  <c r="N17" i="84" s="1"/>
  <c r="D67" i="77"/>
  <c r="H17" i="84"/>
  <c r="J67" i="77"/>
  <c r="G12" i="78"/>
  <c r="E12" i="85" s="1"/>
  <c r="H81" i="78" l="1"/>
  <c r="G126" i="83"/>
  <c r="L182" i="83"/>
  <c r="J15" i="84" s="1"/>
  <c r="E126" i="83"/>
  <c r="I126" i="83"/>
  <c r="E156" i="83"/>
  <c r="E172" i="83" s="1"/>
  <c r="P10" i="77"/>
  <c r="D23" i="77"/>
  <c r="D141" i="77" s="1"/>
  <c r="D64" i="77"/>
  <c r="F185" i="83"/>
  <c r="F126" i="83"/>
  <c r="E22" i="85"/>
  <c r="H12" i="78"/>
  <c r="F12" i="85" s="1"/>
  <c r="F14" i="83"/>
  <c r="F14" i="79"/>
  <c r="F17" i="79" s="1"/>
  <c r="F24" i="79" s="1"/>
  <c r="F32" i="79" s="1"/>
  <c r="H15" i="78"/>
  <c r="G15" i="78"/>
  <c r="E14" i="79"/>
  <c r="E17" i="79" s="1"/>
  <c r="E62" i="79" s="1"/>
  <c r="E70" i="79" s="1"/>
  <c r="E14" i="83"/>
  <c r="L15" i="84"/>
  <c r="L31" i="84" s="1"/>
  <c r="N185" i="83"/>
  <c r="J64" i="77"/>
  <c r="M64" i="77"/>
  <c r="J185" i="83"/>
  <c r="F189" i="79"/>
  <c r="D11" i="84" s="1"/>
  <c r="D29" i="84" s="1"/>
  <c r="D40" i="77"/>
  <c r="G10" i="85"/>
  <c r="I14" i="78"/>
  <c r="G14" i="85" s="1"/>
  <c r="G21" i="85" s="1"/>
  <c r="G22" i="85" s="1"/>
  <c r="G25" i="85" s="1"/>
  <c r="Q8" i="78"/>
  <c r="P9" i="78"/>
  <c r="P45" i="78" s="1"/>
  <c r="K63" i="78"/>
  <c r="K81" i="78" s="1"/>
  <c r="J63" i="78"/>
  <c r="J81" i="78" s="1"/>
  <c r="I63" i="78"/>
  <c r="I81" i="78" s="1"/>
  <c r="J10" i="78"/>
  <c r="M90" i="78"/>
  <c r="L10" i="78"/>
  <c r="M92" i="78"/>
  <c r="F31" i="84"/>
  <c r="N189" i="79"/>
  <c r="L11" i="84" s="1"/>
  <c r="L29" i="84" s="1"/>
  <c r="J189" i="79"/>
  <c r="H11" i="84" s="1"/>
  <c r="H29" i="84" s="1"/>
  <c r="H185" i="83"/>
  <c r="J31" i="84"/>
  <c r="G64" i="77"/>
  <c r="L189" i="79"/>
  <c r="J11" i="84" s="1"/>
  <c r="J29" i="84" s="1"/>
  <c r="E169" i="79"/>
  <c r="E176" i="79" s="1"/>
  <c r="H189" i="79"/>
  <c r="F11" i="84" s="1"/>
  <c r="F29" i="84" s="1"/>
  <c r="K10" i="78"/>
  <c r="K14" i="78" s="1"/>
  <c r="I14" i="85" s="1"/>
  <c r="I21" i="85" s="1"/>
  <c r="I22" i="85" s="1"/>
  <c r="I25" i="85" s="1"/>
  <c r="H31" i="84"/>
  <c r="E12" i="83"/>
  <c r="E12" i="79"/>
  <c r="E11" i="79"/>
  <c r="G13" i="78"/>
  <c r="E13" i="85" s="1"/>
  <c r="F11" i="79"/>
  <c r="K160" i="78"/>
  <c r="J160" i="78"/>
  <c r="I160" i="78"/>
  <c r="H160" i="78"/>
  <c r="G160" i="78"/>
  <c r="E11" i="83"/>
  <c r="N15" i="84"/>
  <c r="D31" i="84"/>
  <c r="O91" i="78"/>
  <c r="Q119" i="78"/>
  <c r="L7" i="79"/>
  <c r="O6" i="78"/>
  <c r="G10" i="83"/>
  <c r="G11" i="83" s="1"/>
  <c r="G10" i="79"/>
  <c r="I11" i="78"/>
  <c r="G11" i="85" s="1"/>
  <c r="L185" i="83" l="1"/>
  <c r="E25" i="85"/>
  <c r="F12" i="83"/>
  <c r="F13" i="83" s="1"/>
  <c r="E43" i="79"/>
  <c r="E51" i="79" s="1"/>
  <c r="E52" i="79" s="1"/>
  <c r="E63" i="79"/>
  <c r="E64" i="79"/>
  <c r="E74" i="79" s="1"/>
  <c r="J12" i="78"/>
  <c r="H12" i="85" s="1"/>
  <c r="K12" i="78"/>
  <c r="I12" i="79" s="1"/>
  <c r="F12" i="79"/>
  <c r="I12" i="78"/>
  <c r="G12" i="85" s="1"/>
  <c r="H13" i="78"/>
  <c r="F13" i="85" s="1"/>
  <c r="E18" i="79"/>
  <c r="E24" i="79"/>
  <c r="E25" i="79" s="1"/>
  <c r="E81" i="79"/>
  <c r="E83" i="79" s="1"/>
  <c r="G14" i="79"/>
  <c r="G17" i="79" s="1"/>
  <c r="G18" i="79" s="1"/>
  <c r="I15" i="78"/>
  <c r="G14" i="83"/>
  <c r="F81" i="79"/>
  <c r="F89" i="79" s="1"/>
  <c r="F90" i="79" s="1"/>
  <c r="F91" i="79" s="1"/>
  <c r="F25" i="79"/>
  <c r="F26" i="79"/>
  <c r="F36" i="79" s="1"/>
  <c r="F35" i="79" s="1"/>
  <c r="F15" i="79"/>
  <c r="F43" i="79"/>
  <c r="F51" i="79" s="1"/>
  <c r="F112" i="79" s="1"/>
  <c r="F62" i="79"/>
  <c r="F63" i="79" s="1"/>
  <c r="F18" i="79"/>
  <c r="E15" i="79"/>
  <c r="N11" i="84"/>
  <c r="J10" i="85"/>
  <c r="L14" i="78"/>
  <c r="J14" i="85" s="1"/>
  <c r="J21" i="85" s="1"/>
  <c r="J22" i="85" s="1"/>
  <c r="J25" i="85" s="1"/>
  <c r="H10" i="85"/>
  <c r="J14" i="78"/>
  <c r="N92" i="78"/>
  <c r="R8" i="78"/>
  <c r="R9" i="78" s="1"/>
  <c r="R45" i="78" s="1"/>
  <c r="Q9" i="78"/>
  <c r="Q45" i="78" s="1"/>
  <c r="H10" i="79"/>
  <c r="H10" i="83"/>
  <c r="H11" i="83" s="1"/>
  <c r="J11" i="78"/>
  <c r="H11" i="85" s="1"/>
  <c r="M10" i="78"/>
  <c r="L99" i="78"/>
  <c r="K9" i="79"/>
  <c r="K9" i="85"/>
  <c r="K9" i="83"/>
  <c r="I14" i="79"/>
  <c r="I17" i="79" s="1"/>
  <c r="I18" i="79" s="1"/>
  <c r="I14" i="83"/>
  <c r="K11" i="78"/>
  <c r="I11" i="85" s="1"/>
  <c r="I10" i="85"/>
  <c r="K15" i="78"/>
  <c r="I10" i="79"/>
  <c r="I10" i="83"/>
  <c r="I11" i="83" s="1"/>
  <c r="E13" i="83"/>
  <c r="F111" i="79"/>
  <c r="F33" i="79"/>
  <c r="E13" i="79"/>
  <c r="P91" i="78"/>
  <c r="M99" i="78"/>
  <c r="M63" i="78" s="1"/>
  <c r="M81" i="78" s="1"/>
  <c r="Q120" i="78"/>
  <c r="J10" i="83"/>
  <c r="J11" i="83" s="1"/>
  <c r="J10" i="79"/>
  <c r="L11" i="78"/>
  <c r="J11" i="85" s="1"/>
  <c r="E113" i="79"/>
  <c r="E71" i="79"/>
  <c r="H161" i="78"/>
  <c r="G161" i="78"/>
  <c r="K161" i="78"/>
  <c r="J161" i="78"/>
  <c r="I161" i="78"/>
  <c r="G11" i="79"/>
  <c r="M7" i="79"/>
  <c r="P6" i="78"/>
  <c r="E44" i="79" l="1"/>
  <c r="E112" i="79"/>
  <c r="E45" i="79"/>
  <c r="E55" i="79" s="1"/>
  <c r="E98" i="79" s="1"/>
  <c r="E82" i="79"/>
  <c r="E26" i="79"/>
  <c r="E36" i="79" s="1"/>
  <c r="E97" i="79" s="1"/>
  <c r="H12" i="83"/>
  <c r="H13" i="83" s="1"/>
  <c r="H12" i="79"/>
  <c r="I13" i="78"/>
  <c r="G13" i="85" s="1"/>
  <c r="G12" i="83"/>
  <c r="G13" i="83" s="1"/>
  <c r="E32" i="79"/>
  <c r="E111" i="79" s="1"/>
  <c r="I12" i="85"/>
  <c r="I12" i="83"/>
  <c r="I13" i="83" s="1"/>
  <c r="E89" i="79"/>
  <c r="E90" i="79" s="1"/>
  <c r="E91" i="79" s="1"/>
  <c r="F13" i="79"/>
  <c r="G12" i="79"/>
  <c r="G81" i="79"/>
  <c r="G83" i="79" s="1"/>
  <c r="G93" i="79" s="1"/>
  <c r="G24" i="79"/>
  <c r="G26" i="79" s="1"/>
  <c r="G36" i="79" s="1"/>
  <c r="G97" i="79" s="1"/>
  <c r="L15" i="78"/>
  <c r="G15" i="79"/>
  <c r="G62" i="79"/>
  <c r="G70" i="79" s="1"/>
  <c r="G113" i="79" s="1"/>
  <c r="J14" i="79"/>
  <c r="J17" i="79" s="1"/>
  <c r="J24" i="79" s="1"/>
  <c r="J26" i="79" s="1"/>
  <c r="J36" i="79" s="1"/>
  <c r="G43" i="79"/>
  <c r="G51" i="79" s="1"/>
  <c r="G112" i="79" s="1"/>
  <c r="F97" i="79"/>
  <c r="F64" i="79"/>
  <c r="F74" i="79" s="1"/>
  <c r="F99" i="79" s="1"/>
  <c r="F45" i="79"/>
  <c r="F55" i="79" s="1"/>
  <c r="F98" i="79" s="1"/>
  <c r="F83" i="79"/>
  <c r="F93" i="79" s="1"/>
  <c r="F92" i="79" s="1"/>
  <c r="F52" i="79"/>
  <c r="F53" i="79" s="1"/>
  <c r="F70" i="79"/>
  <c r="F71" i="79" s="1"/>
  <c r="F72" i="79" s="1"/>
  <c r="F44" i="79"/>
  <c r="F82" i="79"/>
  <c r="J14" i="83"/>
  <c r="H14" i="85"/>
  <c r="H21" i="85" s="1"/>
  <c r="H14" i="83"/>
  <c r="H14" i="79"/>
  <c r="J15" i="78"/>
  <c r="K10" i="85"/>
  <c r="M14" i="78"/>
  <c r="K14" i="85" s="1"/>
  <c r="K21" i="85" s="1"/>
  <c r="K22" i="85" s="1"/>
  <c r="K25" i="85" s="1"/>
  <c r="L9" i="85"/>
  <c r="H11" i="79"/>
  <c r="N10" i="78"/>
  <c r="N90" i="78"/>
  <c r="N99" i="78" s="1"/>
  <c r="L63" i="78"/>
  <c r="L81" i="78" s="1"/>
  <c r="J13" i="78"/>
  <c r="H13" i="85" s="1"/>
  <c r="O92" i="78"/>
  <c r="O90" i="78"/>
  <c r="L9" i="79"/>
  <c r="L9" i="83"/>
  <c r="I81" i="79"/>
  <c r="I83" i="79" s="1"/>
  <c r="I93" i="79" s="1"/>
  <c r="I11" i="79"/>
  <c r="I43" i="79"/>
  <c r="I45" i="79" s="1"/>
  <c r="I55" i="79" s="1"/>
  <c r="I98" i="79" s="1"/>
  <c r="I15" i="79"/>
  <c r="I62" i="79"/>
  <c r="I64" i="79" s="1"/>
  <c r="I74" i="79" s="1"/>
  <c r="I99" i="79" s="1"/>
  <c r="I24" i="79"/>
  <c r="I32" i="79" s="1"/>
  <c r="I111" i="79" s="1"/>
  <c r="K13" i="78"/>
  <c r="I13" i="85" s="1"/>
  <c r="P92" i="78"/>
  <c r="E99" i="79"/>
  <c r="E73" i="79"/>
  <c r="Q91" i="78"/>
  <c r="Q121" i="78"/>
  <c r="E93" i="79"/>
  <c r="K162" i="78"/>
  <c r="J162" i="78"/>
  <c r="I162" i="78"/>
  <c r="H162" i="78"/>
  <c r="G162" i="78"/>
  <c r="K10" i="83"/>
  <c r="K11" i="83" s="1"/>
  <c r="K10" i="79"/>
  <c r="M11" i="78"/>
  <c r="K11" i="85" s="1"/>
  <c r="E105" i="79"/>
  <c r="E53" i="79"/>
  <c r="N7" i="79"/>
  <c r="Q6" i="78"/>
  <c r="J11" i="79"/>
  <c r="E106" i="79"/>
  <c r="E72" i="79"/>
  <c r="M12" i="78"/>
  <c r="K12" i="85" s="1"/>
  <c r="P90" i="78"/>
  <c r="F104" i="79"/>
  <c r="F34" i="79"/>
  <c r="E114" i="79" l="1"/>
  <c r="E54" i="79"/>
  <c r="H22" i="85"/>
  <c r="E35" i="79"/>
  <c r="J15" i="79"/>
  <c r="G71" i="79"/>
  <c r="G106" i="79" s="1"/>
  <c r="G64" i="79"/>
  <c r="G74" i="79" s="1"/>
  <c r="G73" i="79" s="1"/>
  <c r="E33" i="79"/>
  <c r="E34" i="79" s="1"/>
  <c r="G13" i="79"/>
  <c r="G82" i="79"/>
  <c r="G89" i="79"/>
  <c r="G90" i="79" s="1"/>
  <c r="G91" i="79" s="1"/>
  <c r="F113" i="79"/>
  <c r="F114" i="79" s="1"/>
  <c r="G32" i="79"/>
  <c r="G33" i="79" s="1"/>
  <c r="G34" i="79" s="1"/>
  <c r="L12" i="78"/>
  <c r="J12" i="85" s="1"/>
  <c r="G63" i="79"/>
  <c r="G25" i="79"/>
  <c r="J25" i="79"/>
  <c r="J43" i="79"/>
  <c r="J45" i="79" s="1"/>
  <c r="J55" i="79" s="1"/>
  <c r="J98" i="79" s="1"/>
  <c r="J32" i="79"/>
  <c r="J35" i="79" s="1"/>
  <c r="G45" i="79"/>
  <c r="G55" i="79" s="1"/>
  <c r="G54" i="79" s="1"/>
  <c r="J62" i="79"/>
  <c r="J63" i="79" s="1"/>
  <c r="G44" i="79"/>
  <c r="G52" i="79"/>
  <c r="G105" i="79" s="1"/>
  <c r="J18" i="79"/>
  <c r="J81" i="79"/>
  <c r="J89" i="79" s="1"/>
  <c r="J90" i="79" s="1"/>
  <c r="J91" i="79" s="1"/>
  <c r="F106" i="79"/>
  <c r="F105" i="79"/>
  <c r="F100" i="79"/>
  <c r="F73" i="79"/>
  <c r="F54" i="79"/>
  <c r="L10" i="85"/>
  <c r="N14" i="78"/>
  <c r="L14" i="85" s="1"/>
  <c r="L21" i="85" s="1"/>
  <c r="L22" i="85" s="1"/>
  <c r="L25" i="85" s="1"/>
  <c r="K14" i="83"/>
  <c r="H17" i="79"/>
  <c r="H15" i="79"/>
  <c r="H81" i="79"/>
  <c r="M15" i="78"/>
  <c r="K14" i="79"/>
  <c r="K17" i="79" s="1"/>
  <c r="K24" i="79" s="1"/>
  <c r="K25" i="79" s="1"/>
  <c r="M9" i="79"/>
  <c r="I89" i="79"/>
  <c r="I90" i="79" s="1"/>
  <c r="I91" i="79" s="1"/>
  <c r="M9" i="83"/>
  <c r="M9" i="85"/>
  <c r="N63" i="78"/>
  <c r="N81" i="78" s="1"/>
  <c r="H13" i="79"/>
  <c r="I82" i="79"/>
  <c r="I25" i="79"/>
  <c r="I33" i="79"/>
  <c r="I34" i="79" s="1"/>
  <c r="I26" i="79"/>
  <c r="I36" i="79" s="1"/>
  <c r="I97" i="79" s="1"/>
  <c r="I100" i="79" s="1"/>
  <c r="I70" i="79"/>
  <c r="I113" i="79" s="1"/>
  <c r="I63" i="79"/>
  <c r="I44" i="79"/>
  <c r="I51" i="79"/>
  <c r="I54" i="79" s="1"/>
  <c r="N9" i="79"/>
  <c r="N9" i="85"/>
  <c r="I13" i="79"/>
  <c r="Q92" i="78"/>
  <c r="N9" i="83"/>
  <c r="O10" i="78"/>
  <c r="K163" i="78"/>
  <c r="J163" i="78"/>
  <c r="I163" i="78"/>
  <c r="H163" i="78"/>
  <c r="G163" i="78"/>
  <c r="E92" i="79"/>
  <c r="J97" i="79"/>
  <c r="Q90" i="78"/>
  <c r="E100" i="79"/>
  <c r="K11" i="79"/>
  <c r="M13" i="78"/>
  <c r="K13" i="85" s="1"/>
  <c r="Q122" i="78"/>
  <c r="O99" i="78"/>
  <c r="L10" i="83"/>
  <c r="N11" i="78"/>
  <c r="L11" i="85" s="1"/>
  <c r="L10" i="79"/>
  <c r="R91" i="78"/>
  <c r="S91" i="78" s="1"/>
  <c r="O7" i="79"/>
  <c r="R6" i="78"/>
  <c r="K12" i="83"/>
  <c r="K13" i="83" s="1"/>
  <c r="K12" i="79"/>
  <c r="G99" i="79" l="1"/>
  <c r="G72" i="79"/>
  <c r="H25" i="85"/>
  <c r="E104" i="79"/>
  <c r="E107" i="79" s="1"/>
  <c r="J33" i="79"/>
  <c r="J34" i="79" s="1"/>
  <c r="J82" i="79"/>
  <c r="G92" i="79"/>
  <c r="G104" i="79"/>
  <c r="G107" i="79" s="1"/>
  <c r="G35" i="79"/>
  <c r="G111" i="79"/>
  <c r="G114" i="79" s="1"/>
  <c r="J111" i="79"/>
  <c r="J83" i="79"/>
  <c r="J93" i="79" s="1"/>
  <c r="J92" i="79" s="1"/>
  <c r="J12" i="79"/>
  <c r="J12" i="83"/>
  <c r="J13" i="83" s="1"/>
  <c r="L13" i="78"/>
  <c r="J13" i="85" s="1"/>
  <c r="J51" i="79"/>
  <c r="J52" i="79" s="1"/>
  <c r="J53" i="79" s="1"/>
  <c r="N12" i="78"/>
  <c r="L12" i="79" s="1"/>
  <c r="J44" i="79"/>
  <c r="J70" i="79"/>
  <c r="J113" i="79" s="1"/>
  <c r="J64" i="79"/>
  <c r="J74" i="79" s="1"/>
  <c r="L14" i="83"/>
  <c r="L14" i="79"/>
  <c r="L17" i="79" s="1"/>
  <c r="L24" i="79" s="1"/>
  <c r="L25" i="79" s="1"/>
  <c r="G98" i="79"/>
  <c r="G53" i="79"/>
  <c r="F107" i="79"/>
  <c r="I92" i="79"/>
  <c r="N15" i="78"/>
  <c r="K15" i="79"/>
  <c r="K81" i="79"/>
  <c r="K83" i="79" s="1"/>
  <c r="K93" i="79" s="1"/>
  <c r="K62" i="79"/>
  <c r="K70" i="79" s="1"/>
  <c r="K113" i="79" s="1"/>
  <c r="K18" i="79"/>
  <c r="K43" i="79"/>
  <c r="K51" i="79" s="1"/>
  <c r="K52" i="79" s="1"/>
  <c r="K32" i="79"/>
  <c r="K33" i="79" s="1"/>
  <c r="K26" i="79"/>
  <c r="K36" i="79" s="1"/>
  <c r="H89" i="79"/>
  <c r="H90" i="79" s="1"/>
  <c r="H91" i="79" s="1"/>
  <c r="H83" i="79"/>
  <c r="H93" i="79" s="1"/>
  <c r="H82" i="79"/>
  <c r="M10" i="85"/>
  <c r="O14" i="78"/>
  <c r="M14" i="85" s="1"/>
  <c r="M21" i="85" s="1"/>
  <c r="M22" i="85" s="1"/>
  <c r="M25" i="85" s="1"/>
  <c r="H62" i="79"/>
  <c r="H43" i="79"/>
  <c r="H18" i="79"/>
  <c r="H24" i="79"/>
  <c r="O63" i="78"/>
  <c r="O81" i="78" s="1"/>
  <c r="I35" i="79"/>
  <c r="I104" i="79"/>
  <c r="I71" i="79"/>
  <c r="I72" i="79" s="1"/>
  <c r="I112" i="79"/>
  <c r="I114" i="79" s="1"/>
  <c r="I73" i="79"/>
  <c r="I52" i="79"/>
  <c r="I105" i="79" s="1"/>
  <c r="O9" i="85"/>
  <c r="O9" i="83"/>
  <c r="R92" i="78"/>
  <c r="S92" i="78" s="1"/>
  <c r="O9" i="79"/>
  <c r="P9" i="79"/>
  <c r="P9" i="83"/>
  <c r="S9" i="78"/>
  <c r="D12" i="77" s="1"/>
  <c r="R90" i="78"/>
  <c r="S90" i="78" s="1"/>
  <c r="S8" i="78"/>
  <c r="P10" i="78"/>
  <c r="M10" i="83"/>
  <c r="M11" i="83" s="1"/>
  <c r="M10" i="79"/>
  <c r="O11" i="78"/>
  <c r="M11" i="85" s="1"/>
  <c r="Q123" i="78"/>
  <c r="I164" i="78"/>
  <c r="H164" i="78"/>
  <c r="G164" i="78"/>
  <c r="K164" i="78"/>
  <c r="J164" i="78"/>
  <c r="S22" i="78"/>
  <c r="T22" i="78" s="1"/>
  <c r="P99" i="78"/>
  <c r="P63" i="78" s="1"/>
  <c r="P81" i="78" s="1"/>
  <c r="L11" i="83"/>
  <c r="K13" i="79"/>
  <c r="L11" i="79"/>
  <c r="P7" i="79"/>
  <c r="S55" i="78" l="1"/>
  <c r="U55" i="78" s="1"/>
  <c r="G100" i="79"/>
  <c r="J105" i="79"/>
  <c r="J104" i="79"/>
  <c r="J54" i="79"/>
  <c r="J112" i="79"/>
  <c r="J114" i="79" s="1"/>
  <c r="L81" i="79"/>
  <c r="L89" i="79" s="1"/>
  <c r="J71" i="79"/>
  <c r="J106" i="79" s="1"/>
  <c r="L12" i="85"/>
  <c r="J13" i="79"/>
  <c r="N13" i="78"/>
  <c r="L13" i="85" s="1"/>
  <c r="L12" i="83"/>
  <c r="L13" i="83" s="1"/>
  <c r="J73" i="79"/>
  <c r="K82" i="79"/>
  <c r="K89" i="79"/>
  <c r="K90" i="79" s="1"/>
  <c r="K91" i="79" s="1"/>
  <c r="T91" i="78"/>
  <c r="O12" i="78"/>
  <c r="M12" i="85" s="1"/>
  <c r="L32" i="79"/>
  <c r="L111" i="79" s="1"/>
  <c r="L26" i="79"/>
  <c r="L36" i="79" s="1"/>
  <c r="L97" i="79" s="1"/>
  <c r="L62" i="79"/>
  <c r="L63" i="79" s="1"/>
  <c r="L43" i="79"/>
  <c r="L45" i="79" s="1"/>
  <c r="L55" i="79" s="1"/>
  <c r="L15" i="79"/>
  <c r="S37" i="78"/>
  <c r="S73" i="78" s="1"/>
  <c r="U73" i="78" s="1"/>
  <c r="J99" i="79"/>
  <c r="J100" i="79" s="1"/>
  <c r="L18" i="79"/>
  <c r="K64" i="79"/>
  <c r="K74" i="79" s="1"/>
  <c r="K73" i="79" s="1"/>
  <c r="K71" i="79"/>
  <c r="K72" i="79" s="1"/>
  <c r="K63" i="79"/>
  <c r="K45" i="79"/>
  <c r="K55" i="79" s="1"/>
  <c r="K54" i="79" s="1"/>
  <c r="K44" i="79"/>
  <c r="K112" i="79"/>
  <c r="K111" i="79"/>
  <c r="H92" i="79"/>
  <c r="N10" i="85"/>
  <c r="P14" i="78"/>
  <c r="N14" i="85" s="1"/>
  <c r="N21" i="85" s="1"/>
  <c r="N22" i="85" s="1"/>
  <c r="N25" i="85" s="1"/>
  <c r="M14" i="79"/>
  <c r="M17" i="79" s="1"/>
  <c r="M62" i="79" s="1"/>
  <c r="M70" i="79" s="1"/>
  <c r="O15" i="78"/>
  <c r="H26" i="79"/>
  <c r="H36" i="79" s="1"/>
  <c r="H97" i="79" s="1"/>
  <c r="H25" i="79"/>
  <c r="H32" i="79"/>
  <c r="M14" i="83"/>
  <c r="H44" i="79"/>
  <c r="H45" i="79"/>
  <c r="H55" i="79" s="1"/>
  <c r="H51" i="79"/>
  <c r="H64" i="79"/>
  <c r="H74" i="79" s="1"/>
  <c r="H70" i="79"/>
  <c r="H63" i="79"/>
  <c r="P9" i="85"/>
  <c r="Q9" i="85" s="1"/>
  <c r="I53" i="79"/>
  <c r="I106" i="79"/>
  <c r="I107" i="79" s="1"/>
  <c r="Q9" i="79"/>
  <c r="Q9" i="83"/>
  <c r="S23" i="78"/>
  <c r="T23" i="78" s="1"/>
  <c r="C9" i="83"/>
  <c r="G183" i="78"/>
  <c r="Q10" i="78"/>
  <c r="K165" i="78"/>
  <c r="J165" i="78"/>
  <c r="I165" i="78"/>
  <c r="H165" i="78"/>
  <c r="G165" i="78"/>
  <c r="K34" i="79"/>
  <c r="K104" i="79"/>
  <c r="P12" i="78"/>
  <c r="N12" i="85" s="1"/>
  <c r="S20" i="78"/>
  <c r="T89" i="78" s="1"/>
  <c r="Q124" i="78"/>
  <c r="M11" i="79"/>
  <c r="S21" i="78"/>
  <c r="T21" i="78" s="1"/>
  <c r="Q99" i="78"/>
  <c r="Q125" i="78"/>
  <c r="N10" i="83"/>
  <c r="N11" i="83" s="1"/>
  <c r="N10" i="79"/>
  <c r="P11" i="78"/>
  <c r="N11" i="85" s="1"/>
  <c r="K97" i="79"/>
  <c r="K35" i="79"/>
  <c r="K105" i="79"/>
  <c r="K53" i="79"/>
  <c r="S54" i="78" l="1"/>
  <c r="U54" i="78" s="1"/>
  <c r="S56" i="78"/>
  <c r="U56" i="78" s="1"/>
  <c r="L33" i="79"/>
  <c r="L104" i="79" s="1"/>
  <c r="J107" i="79"/>
  <c r="J72" i="79"/>
  <c r="K92" i="79"/>
  <c r="L83" i="79"/>
  <c r="L93" i="79" s="1"/>
  <c r="L92" i="79" s="1"/>
  <c r="L51" i="79"/>
  <c r="L112" i="79" s="1"/>
  <c r="L82" i="79"/>
  <c r="K114" i="79"/>
  <c r="K99" i="79"/>
  <c r="L70" i="79"/>
  <c r="L113" i="79" s="1"/>
  <c r="L64" i="79"/>
  <c r="L74" i="79" s="1"/>
  <c r="L99" i="79" s="1"/>
  <c r="L35" i="79"/>
  <c r="K106" i="79"/>
  <c r="K107" i="79" s="1"/>
  <c r="L13" i="79"/>
  <c r="T92" i="78"/>
  <c r="S35" i="78"/>
  <c r="T20" i="78"/>
  <c r="M12" i="83"/>
  <c r="M13" i="83" s="1"/>
  <c r="O13" i="78"/>
  <c r="M13" i="85" s="1"/>
  <c r="M12" i="79"/>
  <c r="T90" i="78"/>
  <c r="L44" i="79"/>
  <c r="S36" i="78"/>
  <c r="S72" i="78" s="1"/>
  <c r="U72" i="78" s="1"/>
  <c r="S38" i="78"/>
  <c r="M18" i="79"/>
  <c r="N14" i="83"/>
  <c r="K98" i="79"/>
  <c r="M43" i="79"/>
  <c r="M45" i="79" s="1"/>
  <c r="M55" i="79" s="1"/>
  <c r="M98" i="79" s="1"/>
  <c r="P15" i="78"/>
  <c r="N14" i="79"/>
  <c r="N17" i="79" s="1"/>
  <c r="N43" i="79" s="1"/>
  <c r="N44" i="79" s="1"/>
  <c r="M24" i="79"/>
  <c r="M32" i="79" s="1"/>
  <c r="M33" i="79" s="1"/>
  <c r="M15" i="79"/>
  <c r="M81" i="79"/>
  <c r="M83" i="79" s="1"/>
  <c r="M93" i="79" s="1"/>
  <c r="M63" i="79"/>
  <c r="M64" i="79"/>
  <c r="M74" i="79" s="1"/>
  <c r="H52" i="79"/>
  <c r="H112" i="79"/>
  <c r="H71" i="79"/>
  <c r="H113" i="79"/>
  <c r="H98" i="79"/>
  <c r="H54" i="79"/>
  <c r="H35" i="79"/>
  <c r="H111" i="79"/>
  <c r="H33" i="79"/>
  <c r="H73" i="79"/>
  <c r="H99" i="79"/>
  <c r="O10" i="85"/>
  <c r="Q14" i="78"/>
  <c r="O14" i="85" s="1"/>
  <c r="O21" i="85" s="1"/>
  <c r="O22" i="85" s="1"/>
  <c r="O25" i="85" s="1"/>
  <c r="Q63" i="78"/>
  <c r="Q81" i="78" s="1"/>
  <c r="Q127" i="78"/>
  <c r="H156" i="83"/>
  <c r="H160" i="83"/>
  <c r="H164" i="83"/>
  <c r="J167" i="78"/>
  <c r="I167" i="78"/>
  <c r="H167" i="78"/>
  <c r="G167" i="78"/>
  <c r="K167" i="78"/>
  <c r="G166" i="78"/>
  <c r="K166" i="78"/>
  <c r="J166" i="78"/>
  <c r="I166" i="78"/>
  <c r="H166" i="78"/>
  <c r="R99" i="78"/>
  <c r="R63" i="78" s="1"/>
  <c r="R81" i="78" s="1"/>
  <c r="S53" i="78"/>
  <c r="U53" i="78" s="1"/>
  <c r="L98" i="79"/>
  <c r="R10" i="78"/>
  <c r="R14" i="78" s="1"/>
  <c r="S30" i="78"/>
  <c r="N12" i="83"/>
  <c r="N13" i="83" s="1"/>
  <c r="N12" i="79"/>
  <c r="O10" i="83"/>
  <c r="O11" i="83" s="1"/>
  <c r="Q11" i="78"/>
  <c r="O11" i="85" s="1"/>
  <c r="O10" i="79"/>
  <c r="M113" i="79"/>
  <c r="M71" i="79"/>
  <c r="L90" i="79"/>
  <c r="L91" i="79" s="1"/>
  <c r="N11" i="79"/>
  <c r="P13" i="78"/>
  <c r="N13" i="85" s="1"/>
  <c r="S74" i="78" l="1"/>
  <c r="U74" i="78" s="1"/>
  <c r="S71" i="78"/>
  <c r="U71" i="78" s="1"/>
  <c r="L34" i="79"/>
  <c r="L114" i="79"/>
  <c r="L54" i="79"/>
  <c r="L52" i="79"/>
  <c r="L105" i="79" s="1"/>
  <c r="L71" i="79"/>
  <c r="L106" i="79" s="1"/>
  <c r="L73" i="79"/>
  <c r="K100" i="79"/>
  <c r="L100" i="79"/>
  <c r="M13" i="79"/>
  <c r="Q12" i="78"/>
  <c r="O12" i="85" s="1"/>
  <c r="N81" i="79"/>
  <c r="N89" i="79" s="1"/>
  <c r="N51" i="79"/>
  <c r="N112" i="79" s="1"/>
  <c r="O14" i="79"/>
  <c r="O17" i="79" s="1"/>
  <c r="O24" i="79" s="1"/>
  <c r="O26" i="79" s="1"/>
  <c r="M111" i="79"/>
  <c r="Q15" i="78"/>
  <c r="M44" i="79"/>
  <c r="M51" i="79"/>
  <c r="M54" i="79" s="1"/>
  <c r="N18" i="79"/>
  <c r="N62" i="79"/>
  <c r="N70" i="79" s="1"/>
  <c r="N71" i="79" s="1"/>
  <c r="N45" i="79"/>
  <c r="N55" i="79" s="1"/>
  <c r="N24" i="79"/>
  <c r="N26" i="79" s="1"/>
  <c r="N36" i="79" s="1"/>
  <c r="N97" i="79" s="1"/>
  <c r="N15" i="79"/>
  <c r="M89" i="79"/>
  <c r="M90" i="79" s="1"/>
  <c r="M91" i="79" s="1"/>
  <c r="M82" i="79"/>
  <c r="M25" i="79"/>
  <c r="M26" i="79"/>
  <c r="M36" i="79" s="1"/>
  <c r="M97" i="79" s="1"/>
  <c r="O14" i="83"/>
  <c r="H100" i="79"/>
  <c r="H114" i="79"/>
  <c r="H106" i="79"/>
  <c r="H72" i="79"/>
  <c r="H34" i="79"/>
  <c r="H104" i="79"/>
  <c r="H105" i="79"/>
  <c r="H53" i="79"/>
  <c r="S10" i="78"/>
  <c r="D13" i="77" s="1"/>
  <c r="P10" i="85"/>
  <c r="Q10" i="85" s="1"/>
  <c r="S14" i="78"/>
  <c r="P14" i="85"/>
  <c r="H169" i="78"/>
  <c r="G39" i="77" s="1"/>
  <c r="G169" i="78"/>
  <c r="I169" i="78"/>
  <c r="L205" i="78" s="1"/>
  <c r="H9" i="84" s="1"/>
  <c r="J169" i="78"/>
  <c r="N205" i="78" s="1"/>
  <c r="J9" i="84" s="1"/>
  <c r="O11" i="79"/>
  <c r="M106" i="79"/>
  <c r="M72" i="79"/>
  <c r="M104" i="79"/>
  <c r="M34" i="79"/>
  <c r="R12" i="78"/>
  <c r="P12" i="85" s="1"/>
  <c r="S99" i="78"/>
  <c r="T99" i="78" s="1"/>
  <c r="M73" i="79"/>
  <c r="M99" i="79"/>
  <c r="P14" i="83"/>
  <c r="P14" i="79"/>
  <c r="P17" i="79" s="1"/>
  <c r="R15" i="78"/>
  <c r="S45" i="78"/>
  <c r="T30" i="78"/>
  <c r="N13" i="79"/>
  <c r="P10" i="83"/>
  <c r="P10" i="79"/>
  <c r="Q10" i="79" s="1"/>
  <c r="R11" i="78"/>
  <c r="P11" i="85" s="1"/>
  <c r="K169" i="78"/>
  <c r="L72" i="79" l="1"/>
  <c r="L53" i="79"/>
  <c r="L107" i="79"/>
  <c r="Q14" i="85"/>
  <c r="D14" i="85" s="1"/>
  <c r="P21" i="85"/>
  <c r="N52" i="79"/>
  <c r="N53" i="79" s="1"/>
  <c r="N83" i="79"/>
  <c r="N93" i="79" s="1"/>
  <c r="N92" i="79" s="1"/>
  <c r="N82" i="79"/>
  <c r="Q17" i="79"/>
  <c r="Q18" i="79" s="1"/>
  <c r="O25" i="79"/>
  <c r="O32" i="79"/>
  <c r="O33" i="79" s="1"/>
  <c r="N32" i="79"/>
  <c r="N35" i="79" s="1"/>
  <c r="O81" i="79"/>
  <c r="O82" i="79" s="1"/>
  <c r="O15" i="79"/>
  <c r="O18" i="79"/>
  <c r="N64" i="79"/>
  <c r="N74" i="79" s="1"/>
  <c r="N73" i="79" s="1"/>
  <c r="O12" i="83"/>
  <c r="O13" i="83" s="1"/>
  <c r="Q13" i="78"/>
  <c r="O13" i="85" s="1"/>
  <c r="O12" i="79"/>
  <c r="O62" i="79"/>
  <c r="O64" i="79" s="1"/>
  <c r="O74" i="79" s="1"/>
  <c r="O99" i="79" s="1"/>
  <c r="S63" i="78"/>
  <c r="U63" i="78" s="1"/>
  <c r="O43" i="79"/>
  <c r="O45" i="79" s="1"/>
  <c r="O55" i="79" s="1"/>
  <c r="O98" i="79" s="1"/>
  <c r="M52" i="79"/>
  <c r="M53" i="79" s="1"/>
  <c r="M35" i="79"/>
  <c r="Q14" i="83"/>
  <c r="M112" i="79"/>
  <c r="M114" i="79" s="1"/>
  <c r="N113" i="79"/>
  <c r="N63" i="79"/>
  <c r="M92" i="79"/>
  <c r="N25" i="79"/>
  <c r="C14" i="83"/>
  <c r="D17" i="77"/>
  <c r="G194" i="78"/>
  <c r="D39" i="77"/>
  <c r="D42" i="77" s="1"/>
  <c r="G42" i="77"/>
  <c r="H107" i="79"/>
  <c r="G188" i="78"/>
  <c r="G176" i="78" s="1"/>
  <c r="G184" i="78"/>
  <c r="G185" i="78" s="1"/>
  <c r="S11" i="78"/>
  <c r="Q11" i="85" s="1"/>
  <c r="C10" i="83"/>
  <c r="G164" i="83" s="1"/>
  <c r="S15" i="78"/>
  <c r="S17" i="79"/>
  <c r="J39" i="77"/>
  <c r="M39" i="77"/>
  <c r="J205" i="78"/>
  <c r="F9" i="84" s="1"/>
  <c r="F21" i="84" s="1"/>
  <c r="G24" i="77" s="1"/>
  <c r="H205" i="78"/>
  <c r="D9" i="84" s="1"/>
  <c r="N9" i="84" s="1"/>
  <c r="N21" i="84" s="1"/>
  <c r="P24" i="79"/>
  <c r="P32" i="79" s="1"/>
  <c r="P43" i="79"/>
  <c r="P18" i="79"/>
  <c r="P62" i="79"/>
  <c r="P64" i="79" s="1"/>
  <c r="N90" i="79"/>
  <c r="N91" i="79" s="1"/>
  <c r="N98" i="79"/>
  <c r="N54" i="79"/>
  <c r="G192" i="78"/>
  <c r="P12" i="83"/>
  <c r="P12" i="79"/>
  <c r="M100" i="79"/>
  <c r="P11" i="79"/>
  <c r="R13" i="78"/>
  <c r="P13" i="85" s="1"/>
  <c r="O36" i="79"/>
  <c r="P205" i="78"/>
  <c r="L9" i="84" s="1"/>
  <c r="P39" i="77"/>
  <c r="P11" i="83"/>
  <c r="Q10" i="83"/>
  <c r="Q11" i="83" s="1"/>
  <c r="N106" i="79"/>
  <c r="N72" i="79"/>
  <c r="P15" i="79"/>
  <c r="P81" i="79"/>
  <c r="Q14" i="79"/>
  <c r="H28" i="84"/>
  <c r="H32" i="84" s="1"/>
  <c r="H21" i="84"/>
  <c r="J24" i="77" s="1"/>
  <c r="J28" i="84"/>
  <c r="J32" i="84" s="1"/>
  <c r="J21" i="84"/>
  <c r="M24" i="77" s="1"/>
  <c r="O44" i="79" l="1"/>
  <c r="S12" i="78"/>
  <c r="D27" i="77"/>
  <c r="P176" i="78"/>
  <c r="O70" i="79"/>
  <c r="O73" i="79" s="1"/>
  <c r="N105" i="79"/>
  <c r="O111" i="79"/>
  <c r="O51" i="79"/>
  <c r="O54" i="79" s="1"/>
  <c r="P22" i="85"/>
  <c r="Q21" i="85"/>
  <c r="N33" i="79"/>
  <c r="N104" i="79" s="1"/>
  <c r="O83" i="79"/>
  <c r="O93" i="79" s="1"/>
  <c r="O63" i="79"/>
  <c r="N111" i="79"/>
  <c r="N114" i="79" s="1"/>
  <c r="O89" i="79"/>
  <c r="O90" i="79" s="1"/>
  <c r="O91" i="79" s="1"/>
  <c r="N99" i="79"/>
  <c r="N100" i="79" s="1"/>
  <c r="Q43" i="79"/>
  <c r="Q44" i="79" s="1"/>
  <c r="O13" i="79"/>
  <c r="M105" i="79"/>
  <c r="M107" i="79" s="1"/>
  <c r="G175" i="78"/>
  <c r="H175" i="78" s="1"/>
  <c r="D14" i="83"/>
  <c r="H194" i="78"/>
  <c r="M42" i="77"/>
  <c r="M139" i="77" s="1"/>
  <c r="P42" i="77"/>
  <c r="J42" i="77"/>
  <c r="G104" i="78"/>
  <c r="L131" i="83"/>
  <c r="E131" i="83" s="1"/>
  <c r="H104" i="78"/>
  <c r="J11" i="77"/>
  <c r="G160" i="83"/>
  <c r="T45" i="78"/>
  <c r="Q11" i="79"/>
  <c r="G156" i="83"/>
  <c r="J193" i="78"/>
  <c r="J194" i="78"/>
  <c r="C11" i="83"/>
  <c r="E149" i="83"/>
  <c r="G173" i="78"/>
  <c r="O191" i="78" s="1"/>
  <c r="P26" i="79"/>
  <c r="P36" i="79" s="1"/>
  <c r="P35" i="79" s="1"/>
  <c r="D126" i="77"/>
  <c r="F28" i="84"/>
  <c r="F32" i="84" s="1"/>
  <c r="D28" i="84"/>
  <c r="D32" i="84" s="1"/>
  <c r="D21" i="84"/>
  <c r="D24" i="77" s="1"/>
  <c r="D140" i="77" s="1"/>
  <c r="P25" i="79"/>
  <c r="Q24" i="79"/>
  <c r="Q25" i="79" s="1"/>
  <c r="P45" i="79"/>
  <c r="P55" i="79" s="1"/>
  <c r="P51" i="79"/>
  <c r="P52" i="79" s="1"/>
  <c r="Q62" i="79"/>
  <c r="S62" i="79" s="1"/>
  <c r="P44" i="79"/>
  <c r="P63" i="79"/>
  <c r="P70" i="79"/>
  <c r="P13" i="83"/>
  <c r="L28" i="84"/>
  <c r="L32" i="84" s="1"/>
  <c r="L21" i="84"/>
  <c r="P24" i="77" s="1"/>
  <c r="D14" i="79"/>
  <c r="D17" i="79" s="1"/>
  <c r="Q15" i="79"/>
  <c r="R14" i="83"/>
  <c r="P175" i="78"/>
  <c r="H193" i="78"/>
  <c r="G177" i="78"/>
  <c r="P174" i="78"/>
  <c r="J192" i="78"/>
  <c r="G139" i="77"/>
  <c r="J22" i="84"/>
  <c r="M140" i="77"/>
  <c r="P83" i="79"/>
  <c r="P89" i="79"/>
  <c r="P82" i="79"/>
  <c r="Q81" i="79"/>
  <c r="Q82" i="79" s="1"/>
  <c r="O104" i="79"/>
  <c r="O34" i="79"/>
  <c r="F22" i="84"/>
  <c r="G140" i="77"/>
  <c r="N193" i="78"/>
  <c r="H176" i="78"/>
  <c r="O193" i="78"/>
  <c r="P111" i="79"/>
  <c r="P33" i="79"/>
  <c r="Q32" i="79"/>
  <c r="Q33" i="79" s="1"/>
  <c r="D139" i="77"/>
  <c r="H22" i="84"/>
  <c r="J140" i="77"/>
  <c r="P74" i="79"/>
  <c r="Q64" i="79"/>
  <c r="O35" i="79"/>
  <c r="O97" i="79"/>
  <c r="P13" i="79"/>
  <c r="D14" i="77"/>
  <c r="D125" i="77"/>
  <c r="S64" i="78"/>
  <c r="G14" i="77" l="1"/>
  <c r="D75" i="77"/>
  <c r="D77" i="77"/>
  <c r="E167" i="83"/>
  <c r="H167" i="83" s="1"/>
  <c r="O52" i="79"/>
  <c r="O105" i="79" s="1"/>
  <c r="O112" i="79"/>
  <c r="O92" i="79"/>
  <c r="Q70" i="79"/>
  <c r="Q71" i="79" s="1"/>
  <c r="Q106" i="79" s="1"/>
  <c r="O71" i="79"/>
  <c r="O106" i="79" s="1"/>
  <c r="O113" i="79"/>
  <c r="N107" i="79"/>
  <c r="P178" i="78"/>
  <c r="J12" i="77"/>
  <c r="P25" i="85"/>
  <c r="Q25" i="85" s="1"/>
  <c r="Q22" i="85"/>
  <c r="E95" i="85" s="1"/>
  <c r="E102" i="85" s="1"/>
  <c r="N34" i="79"/>
  <c r="O192" i="78"/>
  <c r="N192" i="78"/>
  <c r="Q12" i="85"/>
  <c r="D15" i="77"/>
  <c r="E118" i="79"/>
  <c r="E25" i="83"/>
  <c r="M11" i="77"/>
  <c r="I104" i="78"/>
  <c r="F25" i="83"/>
  <c r="F118" i="79"/>
  <c r="H173" i="78"/>
  <c r="K193" i="78"/>
  <c r="N191" i="78"/>
  <c r="Q36" i="79"/>
  <c r="Q35" i="79" s="1"/>
  <c r="P97" i="79"/>
  <c r="Q97" i="79" s="1"/>
  <c r="Q26" i="79"/>
  <c r="J139" i="77"/>
  <c r="J142" i="77" s="1"/>
  <c r="D22" i="84"/>
  <c r="N22" i="84" s="1"/>
  <c r="S24" i="79"/>
  <c r="Q45" i="79"/>
  <c r="Q51" i="79"/>
  <c r="Q112" i="79" s="1"/>
  <c r="I176" i="79" s="1"/>
  <c r="K194" i="78"/>
  <c r="P71" i="79"/>
  <c r="P72" i="79" s="1"/>
  <c r="P112" i="79"/>
  <c r="P113" i="79"/>
  <c r="Q63" i="79"/>
  <c r="P98" i="79"/>
  <c r="P54" i="79"/>
  <c r="Q55" i="79"/>
  <c r="O194" i="78"/>
  <c r="N194" i="78"/>
  <c r="H177" i="78"/>
  <c r="P105" i="79"/>
  <c r="P53" i="79"/>
  <c r="G142" i="77"/>
  <c r="G105" i="78"/>
  <c r="Q104" i="79"/>
  <c r="Q34" i="79"/>
  <c r="L22" i="84"/>
  <c r="P140" i="77"/>
  <c r="P104" i="79"/>
  <c r="P34" i="79"/>
  <c r="P90" i="79"/>
  <c r="P91" i="79" s="1"/>
  <c r="Q89" i="79"/>
  <c r="Q90" i="79" s="1"/>
  <c r="Q91" i="79" s="1"/>
  <c r="M142" i="77"/>
  <c r="Q111" i="79"/>
  <c r="P93" i="79"/>
  <c r="Q83" i="79"/>
  <c r="P139" i="77"/>
  <c r="P99" i="79"/>
  <c r="Q99" i="79" s="1"/>
  <c r="P73" i="79"/>
  <c r="Q74" i="79"/>
  <c r="D18" i="77"/>
  <c r="G18" i="77" s="1"/>
  <c r="O100" i="79"/>
  <c r="C12" i="83"/>
  <c r="Q12" i="83"/>
  <c r="Q13" i="83" s="1"/>
  <c r="Q12" i="79"/>
  <c r="G186" i="78"/>
  <c r="G187" i="78" s="1"/>
  <c r="T63" i="78"/>
  <c r="T81" i="78" s="1"/>
  <c r="S13" i="78"/>
  <c r="Q13" i="85" s="1"/>
  <c r="D142" i="77"/>
  <c r="J14" i="77" l="1"/>
  <c r="G13" i="77"/>
  <c r="D72" i="77"/>
  <c r="O107" i="79"/>
  <c r="G167" i="83"/>
  <c r="E174" i="83"/>
  <c r="O53" i="79"/>
  <c r="O72" i="79"/>
  <c r="Q72" i="79"/>
  <c r="O114" i="79"/>
  <c r="Q73" i="79"/>
  <c r="Q113" i="79"/>
  <c r="I177" i="79" s="1"/>
  <c r="M12" i="77"/>
  <c r="G174" i="78"/>
  <c r="J174" i="78" s="1"/>
  <c r="O178" i="78"/>
  <c r="E97" i="85"/>
  <c r="E104" i="85" s="1"/>
  <c r="E98" i="85"/>
  <c r="E105" i="85" s="1"/>
  <c r="G15" i="77"/>
  <c r="O195" i="78"/>
  <c r="J18" i="77"/>
  <c r="G25" i="83"/>
  <c r="G118" i="79"/>
  <c r="J104" i="78"/>
  <c r="P11" i="77"/>
  <c r="N195" i="78"/>
  <c r="P106" i="79"/>
  <c r="P107" i="79" s="1"/>
  <c r="P114" i="79"/>
  <c r="Q52" i="79"/>
  <c r="Q105" i="79" s="1"/>
  <c r="Q107" i="79" s="1"/>
  <c r="S111" i="79"/>
  <c r="P100" i="79"/>
  <c r="Q100" i="79" s="1"/>
  <c r="P92" i="79"/>
  <c r="Q93" i="79"/>
  <c r="Q92" i="79" s="1"/>
  <c r="E26" i="83"/>
  <c r="E119" i="79"/>
  <c r="Q98" i="79"/>
  <c r="S112" i="79" s="1"/>
  <c r="Q54" i="79"/>
  <c r="C13" i="83"/>
  <c r="Q13" i="79"/>
  <c r="I175" i="79"/>
  <c r="C18" i="83"/>
  <c r="D124" i="77"/>
  <c r="E33" i="77"/>
  <c r="E39" i="77"/>
  <c r="P142" i="77"/>
  <c r="G17" i="77" l="1"/>
  <c r="J13" i="77"/>
  <c r="M14" i="77"/>
  <c r="J15" i="77"/>
  <c r="D135" i="77"/>
  <c r="G135" i="77" s="1"/>
  <c r="J135" i="77" s="1"/>
  <c r="I178" i="79"/>
  <c r="S113" i="79"/>
  <c r="Q114" i="79"/>
  <c r="T114" i="79" s="1"/>
  <c r="H174" i="78"/>
  <c r="G178" i="78"/>
  <c r="H178" i="78" s="1"/>
  <c r="D47" i="77"/>
  <c r="F105" i="85"/>
  <c r="D29" i="77"/>
  <c r="F103" i="85"/>
  <c r="D35" i="77"/>
  <c r="F104" i="85"/>
  <c r="E106" i="85"/>
  <c r="F106" i="85" s="1"/>
  <c r="G27" i="77"/>
  <c r="U13" i="77"/>
  <c r="U10" i="77"/>
  <c r="U9" i="77"/>
  <c r="U8" i="77"/>
  <c r="K104" i="78"/>
  <c r="P12" i="77"/>
  <c r="M18" i="77"/>
  <c r="P18" i="77" s="1"/>
  <c r="H118" i="79"/>
  <c r="H25" i="83"/>
  <c r="Q53" i="79"/>
  <c r="E168" i="79"/>
  <c r="G125" i="77"/>
  <c r="G126" i="77"/>
  <c r="D16" i="77"/>
  <c r="E126" i="77"/>
  <c r="E125" i="77"/>
  <c r="M15" i="77" l="1"/>
  <c r="J17" i="77"/>
  <c r="P14" i="77"/>
  <c r="M13" i="77"/>
  <c r="G72" i="77"/>
  <c r="J27" i="77"/>
  <c r="J16" i="77"/>
  <c r="G75" i="77"/>
  <c r="G77" i="77"/>
  <c r="S115" i="79"/>
  <c r="S114" i="79"/>
  <c r="G195" i="78"/>
  <c r="J195" i="78" s="1"/>
  <c r="K195" i="78" s="1"/>
  <c r="D53" i="77"/>
  <c r="D59" i="77" s="1"/>
  <c r="E35" i="77"/>
  <c r="E107" i="85"/>
  <c r="F107" i="85" s="1"/>
  <c r="C20" i="83"/>
  <c r="E41" i="77"/>
  <c r="E47" i="77"/>
  <c r="I118" i="79"/>
  <c r="I25" i="83"/>
  <c r="H33" i="77"/>
  <c r="H39" i="77"/>
  <c r="H105" i="78"/>
  <c r="J125" i="77"/>
  <c r="J126" i="77"/>
  <c r="M135" i="77"/>
  <c r="J72" i="77"/>
  <c r="E170" i="79"/>
  <c r="E175" i="79"/>
  <c r="D28" i="77" s="1"/>
  <c r="E171" i="79"/>
  <c r="F169" i="79"/>
  <c r="F176" i="79"/>
  <c r="G124" i="77"/>
  <c r="H125" i="77" s="1"/>
  <c r="F17" i="77"/>
  <c r="M16" i="77" l="1"/>
  <c r="P15" i="77"/>
  <c r="T49" i="78"/>
  <c r="P13" i="77"/>
  <c r="M17" i="77"/>
  <c r="M27" i="77"/>
  <c r="J77" i="77"/>
  <c r="J75" i="77"/>
  <c r="G196" i="78"/>
  <c r="G197" i="78" s="1"/>
  <c r="H197" i="78" s="1"/>
  <c r="H195" i="78"/>
  <c r="D45" i="77"/>
  <c r="D127" i="77" s="1"/>
  <c r="E127" i="77" s="1"/>
  <c r="E108" i="85"/>
  <c r="E59" i="77"/>
  <c r="E53" i="77"/>
  <c r="P16" i="77"/>
  <c r="F29" i="77"/>
  <c r="G29" i="77" s="1"/>
  <c r="F28" i="77"/>
  <c r="G28" i="77" s="1"/>
  <c r="K33" i="77"/>
  <c r="K39" i="77"/>
  <c r="J196" i="78"/>
  <c r="K196" i="78" s="1"/>
  <c r="E177" i="79"/>
  <c r="D34" i="77" s="1"/>
  <c r="F170" i="79"/>
  <c r="I105" i="78"/>
  <c r="P135" i="77"/>
  <c r="M72" i="77"/>
  <c r="G16" i="77"/>
  <c r="M125" i="77"/>
  <c r="M126" i="77"/>
  <c r="F26" i="83"/>
  <c r="F119" i="79"/>
  <c r="F171" i="79"/>
  <c r="E178" i="79"/>
  <c r="D46" i="77" s="1"/>
  <c r="J124" i="77"/>
  <c r="K126" i="77" s="1"/>
  <c r="H126" i="77"/>
  <c r="I17" i="77"/>
  <c r="P17" i="77" l="1"/>
  <c r="T67" i="78"/>
  <c r="T85" i="78" s="1"/>
  <c r="P27" i="77"/>
  <c r="M77" i="77"/>
  <c r="M75" i="77"/>
  <c r="D128" i="77"/>
  <c r="D129" i="77" s="1"/>
  <c r="E129" i="77" s="1"/>
  <c r="D51" i="77"/>
  <c r="E51" i="77" s="1"/>
  <c r="E45" i="77"/>
  <c r="G45" i="77" s="1"/>
  <c r="G51" i="77" s="1"/>
  <c r="H196" i="78"/>
  <c r="H41" i="77"/>
  <c r="I29" i="77"/>
  <c r="J29" i="77" s="1"/>
  <c r="I28" i="77"/>
  <c r="J28" i="77" s="1"/>
  <c r="G47" i="77"/>
  <c r="G35" i="77"/>
  <c r="D52" i="77"/>
  <c r="N33" i="77"/>
  <c r="N39" i="77"/>
  <c r="J197" i="78"/>
  <c r="K197" i="78" s="1"/>
  <c r="J105" i="78"/>
  <c r="L17" i="77"/>
  <c r="G26" i="83"/>
  <c r="G119" i="79"/>
  <c r="D30" i="77"/>
  <c r="D97" i="77" s="1"/>
  <c r="F177" i="79"/>
  <c r="E179" i="79"/>
  <c r="M124" i="77"/>
  <c r="N125" i="77" s="1"/>
  <c r="P72" i="77"/>
  <c r="F178" i="79"/>
  <c r="P125" i="77"/>
  <c r="P126" i="77"/>
  <c r="K125" i="77"/>
  <c r="D76" i="77" l="1"/>
  <c r="P75" i="77"/>
  <c r="P77" i="77"/>
  <c r="E78" i="77"/>
  <c r="E77" i="77"/>
  <c r="E76" i="77"/>
  <c r="E75" i="77"/>
  <c r="D80" i="77"/>
  <c r="E79" i="77"/>
  <c r="D57" i="77"/>
  <c r="E128" i="77"/>
  <c r="D58" i="77"/>
  <c r="G57" i="77"/>
  <c r="G53" i="77"/>
  <c r="H35" i="77"/>
  <c r="J35" i="77" s="1"/>
  <c r="K35" i="77" s="1"/>
  <c r="K41" i="77"/>
  <c r="L29" i="77"/>
  <c r="M29" i="77" s="1"/>
  <c r="L28" i="77"/>
  <c r="M28" i="77" s="1"/>
  <c r="G127" i="77"/>
  <c r="H127" i="77" s="1"/>
  <c r="H51" i="77"/>
  <c r="H45" i="77"/>
  <c r="J45" i="77" s="1"/>
  <c r="H47" i="77"/>
  <c r="J47" i="77" s="1"/>
  <c r="Q33" i="77"/>
  <c r="Q39" i="77"/>
  <c r="E42" i="77"/>
  <c r="H26" i="83"/>
  <c r="H119" i="79"/>
  <c r="P124" i="77"/>
  <c r="Q125" i="77" s="1"/>
  <c r="N126" i="77"/>
  <c r="F179" i="79"/>
  <c r="E180" i="79"/>
  <c r="K105" i="78"/>
  <c r="C19" i="83"/>
  <c r="C21" i="83" s="1"/>
  <c r="F149" i="83" s="1"/>
  <c r="E40" i="77"/>
  <c r="E28" i="77"/>
  <c r="O17" i="77"/>
  <c r="E181" i="79" l="1"/>
  <c r="G198" i="78"/>
  <c r="H57" i="77"/>
  <c r="D74" i="77"/>
  <c r="E74" i="77" s="1"/>
  <c r="E80" i="77"/>
  <c r="E57" i="77"/>
  <c r="G59" i="77"/>
  <c r="H53" i="77"/>
  <c r="N41" i="77"/>
  <c r="O29" i="77"/>
  <c r="P29" i="77" s="1"/>
  <c r="O28" i="77"/>
  <c r="P28" i="77" s="1"/>
  <c r="G128" i="77"/>
  <c r="H128" i="77" s="1"/>
  <c r="M35" i="77"/>
  <c r="N35" i="77" s="1"/>
  <c r="J53" i="77"/>
  <c r="J51" i="77"/>
  <c r="J127" i="77"/>
  <c r="K45" i="77"/>
  <c r="M45" i="77" s="1"/>
  <c r="K47" i="77"/>
  <c r="M47" i="77" s="1"/>
  <c r="N47" i="77" s="1"/>
  <c r="D36" i="77"/>
  <c r="E36" i="77" s="1"/>
  <c r="E34" i="77"/>
  <c r="G34" i="77" s="1"/>
  <c r="F180" i="79"/>
  <c r="C22" i="83"/>
  <c r="E96" i="77"/>
  <c r="D98" i="77"/>
  <c r="E98" i="77" s="1"/>
  <c r="D87" i="77"/>
  <c r="E95" i="77"/>
  <c r="E70" i="77"/>
  <c r="E67" i="77"/>
  <c r="E64" i="77"/>
  <c r="E29" i="77"/>
  <c r="E24" i="77"/>
  <c r="E139" i="77"/>
  <c r="E27" i="77"/>
  <c r="E72" i="77"/>
  <c r="E135" i="77" s="1"/>
  <c r="Q126" i="77"/>
  <c r="E146" i="83"/>
  <c r="F134" i="83"/>
  <c r="E139" i="83"/>
  <c r="F139" i="83" s="1"/>
  <c r="E130" i="83"/>
  <c r="F133" i="83"/>
  <c r="E138" i="83"/>
  <c r="F138" i="83" s="1"/>
  <c r="F144" i="83"/>
  <c r="E137" i="83"/>
  <c r="E132" i="83"/>
  <c r="F132" i="83" s="1"/>
  <c r="F145" i="83"/>
  <c r="F143" i="83"/>
  <c r="F131" i="83"/>
  <c r="F156" i="83"/>
  <c r="F160" i="83"/>
  <c r="F164" i="83"/>
  <c r="F167" i="83"/>
  <c r="I26" i="83"/>
  <c r="I119" i="79"/>
  <c r="H59" i="77" l="1"/>
  <c r="E87" i="77"/>
  <c r="J59" i="77"/>
  <c r="Q41" i="77"/>
  <c r="P47" i="77"/>
  <c r="Q47" i="77" s="1"/>
  <c r="K53" i="77"/>
  <c r="G129" i="77"/>
  <c r="H129" i="77" s="1"/>
  <c r="P35" i="77"/>
  <c r="M53" i="77"/>
  <c r="M51" i="77"/>
  <c r="N45" i="77"/>
  <c r="P45" i="77" s="1"/>
  <c r="M127" i="77"/>
  <c r="K127" i="77"/>
  <c r="J128" i="77"/>
  <c r="J57" i="77"/>
  <c r="K51" i="77"/>
  <c r="D48" i="77"/>
  <c r="E48" i="77" s="1"/>
  <c r="E30" i="77"/>
  <c r="H40" i="77"/>
  <c r="G30" i="77"/>
  <c r="G97" i="77" s="1"/>
  <c r="F130" i="83"/>
  <c r="E135" i="83"/>
  <c r="E46" i="77"/>
  <c r="G46" i="77" s="1"/>
  <c r="G52" i="77" s="1"/>
  <c r="F146" i="83"/>
  <c r="E147" i="83"/>
  <c r="F137" i="83"/>
  <c r="E141" i="83"/>
  <c r="D99" i="77"/>
  <c r="E99" i="77" s="1"/>
  <c r="E97" i="77"/>
  <c r="G76" i="77" l="1"/>
  <c r="K59" i="77"/>
  <c r="K57" i="77"/>
  <c r="H79" i="77"/>
  <c r="H78" i="77"/>
  <c r="H77" i="77"/>
  <c r="H75" i="77"/>
  <c r="G80" i="77"/>
  <c r="P53" i="77"/>
  <c r="Q53" i="77" s="1"/>
  <c r="M59" i="77"/>
  <c r="Q35" i="77"/>
  <c r="N53" i="77"/>
  <c r="N127" i="77"/>
  <c r="M128" i="77"/>
  <c r="P51" i="77"/>
  <c r="Q45" i="77"/>
  <c r="P127" i="77"/>
  <c r="J129" i="77"/>
  <c r="K129" i="77" s="1"/>
  <c r="K128" i="77"/>
  <c r="M57" i="77"/>
  <c r="N51" i="77"/>
  <c r="G54" i="77"/>
  <c r="G58" i="77"/>
  <c r="D54" i="77"/>
  <c r="D60" i="77"/>
  <c r="H46" i="77"/>
  <c r="J46" i="77" s="1"/>
  <c r="G48" i="77"/>
  <c r="H48" i="77" s="1"/>
  <c r="H42" i="77"/>
  <c r="G68" i="77"/>
  <c r="G117" i="77" s="1"/>
  <c r="H72" i="77"/>
  <c r="H135" i="77" s="1"/>
  <c r="H24" i="77"/>
  <c r="H29" i="77"/>
  <c r="H95" i="77"/>
  <c r="H27" i="77"/>
  <c r="G87" i="77"/>
  <c r="H28" i="77"/>
  <c r="H139" i="77"/>
  <c r="G98" i="77"/>
  <c r="H98" i="77" s="1"/>
  <c r="H67" i="77"/>
  <c r="H64" i="77"/>
  <c r="H70" i="77"/>
  <c r="H96" i="77"/>
  <c r="H34" i="77"/>
  <c r="J34" i="77" s="1"/>
  <c r="K34" i="77" s="1"/>
  <c r="M34" i="77" s="1"/>
  <c r="G36" i="77"/>
  <c r="H36" i="77" s="1"/>
  <c r="K40" i="77"/>
  <c r="J30" i="77"/>
  <c r="J97" i="77" s="1"/>
  <c r="E165" i="83"/>
  <c r="F147" i="83"/>
  <c r="E52" i="77"/>
  <c r="F141" i="83"/>
  <c r="E161" i="83"/>
  <c r="E58" i="77"/>
  <c r="E151" i="83"/>
  <c r="F151" i="83" s="1"/>
  <c r="E157" i="83"/>
  <c r="F135" i="83"/>
  <c r="H76" i="77" l="1"/>
  <c r="J76" i="77"/>
  <c r="N59" i="77"/>
  <c r="N57" i="77"/>
  <c r="G60" i="77"/>
  <c r="G74" i="77"/>
  <c r="H74" i="77" s="1"/>
  <c r="H80" i="77"/>
  <c r="K42" i="77"/>
  <c r="K79" i="77"/>
  <c r="K78" i="77"/>
  <c r="K77" i="77"/>
  <c r="J80" i="77"/>
  <c r="K75" i="77"/>
  <c r="P59" i="77"/>
  <c r="H97" i="77"/>
  <c r="H87" i="77"/>
  <c r="E54" i="77"/>
  <c r="S54" i="77"/>
  <c r="Q127" i="77"/>
  <c r="P128" i="77"/>
  <c r="P57" i="77"/>
  <c r="Q51" i="77"/>
  <c r="N128" i="77"/>
  <c r="M129" i="77"/>
  <c r="N129" i="77" s="1"/>
  <c r="J52" i="77"/>
  <c r="E60" i="77"/>
  <c r="K46" i="77"/>
  <c r="M46" i="77" s="1"/>
  <c r="M52" i="77" s="1"/>
  <c r="J48" i="77"/>
  <c r="K48" i="77" s="1"/>
  <c r="H30" i="77"/>
  <c r="H68" i="77"/>
  <c r="G99" i="77"/>
  <c r="H99" i="77" s="1"/>
  <c r="G66" i="77"/>
  <c r="K72" i="77"/>
  <c r="K135" i="77" s="1"/>
  <c r="K95" i="77"/>
  <c r="K139" i="77"/>
  <c r="K96" i="77"/>
  <c r="J68" i="77"/>
  <c r="K68" i="77" s="1"/>
  <c r="J98" i="77"/>
  <c r="K98" i="77" s="1"/>
  <c r="K29" i="77"/>
  <c r="K24" i="77"/>
  <c r="K64" i="77"/>
  <c r="K67" i="77"/>
  <c r="N40" i="77"/>
  <c r="M30" i="77"/>
  <c r="M97" i="77" s="1"/>
  <c r="K28" i="77"/>
  <c r="K27" i="77"/>
  <c r="K70" i="77"/>
  <c r="J87" i="77"/>
  <c r="J36" i="77"/>
  <c r="K36" i="77" s="1"/>
  <c r="H54" i="77"/>
  <c r="H52" i="77"/>
  <c r="H157" i="83"/>
  <c r="G157" i="83"/>
  <c r="E173" i="83"/>
  <c r="E175" i="83" s="1"/>
  <c r="F157" i="83"/>
  <c r="D65" i="77"/>
  <c r="E158" i="83"/>
  <c r="H161" i="83"/>
  <c r="G161" i="83"/>
  <c r="F161" i="83"/>
  <c r="D68" i="77"/>
  <c r="E162" i="83"/>
  <c r="N34" i="77"/>
  <c r="P34" i="77" s="1"/>
  <c r="H165" i="83"/>
  <c r="G165" i="83"/>
  <c r="F165" i="83"/>
  <c r="D71" i="77"/>
  <c r="E166" i="83"/>
  <c r="K76" i="77" l="1"/>
  <c r="M76" i="77"/>
  <c r="Q59" i="77"/>
  <c r="Q57" i="77"/>
  <c r="N42" i="77"/>
  <c r="N79" i="77"/>
  <c r="N78" i="77"/>
  <c r="M80" i="77"/>
  <c r="N77" i="77"/>
  <c r="N76" i="77"/>
  <c r="N75" i="77"/>
  <c r="K80" i="77"/>
  <c r="J74" i="77"/>
  <c r="K74" i="77" s="1"/>
  <c r="K97" i="77"/>
  <c r="K87" i="77"/>
  <c r="G133" i="77"/>
  <c r="M48" i="77"/>
  <c r="N48" i="77" s="1"/>
  <c r="Q128" i="77"/>
  <c r="P129" i="77"/>
  <c r="Q129" i="77" s="1"/>
  <c r="M54" i="77"/>
  <c r="M58" i="77"/>
  <c r="J54" i="77"/>
  <c r="K54" i="77" s="1"/>
  <c r="J58" i="77"/>
  <c r="J99" i="77"/>
  <c r="K99" i="77" s="1"/>
  <c r="H66" i="77"/>
  <c r="H133" i="77" s="1"/>
  <c r="J66" i="77"/>
  <c r="J117" i="77"/>
  <c r="K30" i="77"/>
  <c r="K52" i="77"/>
  <c r="H60" i="77"/>
  <c r="H58" i="77"/>
  <c r="N46" i="77"/>
  <c r="P46" i="77" s="1"/>
  <c r="P52" i="77" s="1"/>
  <c r="Q40" i="77"/>
  <c r="P30" i="77"/>
  <c r="P97" i="77" s="1"/>
  <c r="M36" i="77"/>
  <c r="N36" i="77" s="1"/>
  <c r="H162" i="83"/>
  <c r="G162" i="83"/>
  <c r="F162" i="83"/>
  <c r="D117" i="77"/>
  <c r="E68" i="77"/>
  <c r="D66" i="77"/>
  <c r="M87" i="77"/>
  <c r="M68" i="77"/>
  <c r="M98" i="77"/>
  <c r="N98" i="77" s="1"/>
  <c r="N96" i="77"/>
  <c r="N95" i="77"/>
  <c r="N70" i="77"/>
  <c r="N64" i="77"/>
  <c r="N67" i="77"/>
  <c r="N29" i="77"/>
  <c r="N24" i="77"/>
  <c r="N139" i="77"/>
  <c r="N72" i="77"/>
  <c r="N135" i="77" s="1"/>
  <c r="N27" i="77"/>
  <c r="E71" i="77"/>
  <c r="G71" i="77"/>
  <c r="D69" i="77"/>
  <c r="Q34" i="77"/>
  <c r="N28" i="77"/>
  <c r="H158" i="83"/>
  <c r="G158" i="83"/>
  <c r="F158" i="83"/>
  <c r="E168" i="83"/>
  <c r="F168" i="83" s="1"/>
  <c r="H166" i="83"/>
  <c r="G166" i="83"/>
  <c r="F166" i="83"/>
  <c r="G65" i="77"/>
  <c r="E65" i="77"/>
  <c r="D63" i="77"/>
  <c r="P76" i="77" l="1"/>
  <c r="M60" i="77"/>
  <c r="J60" i="77"/>
  <c r="K60" i="77" s="1"/>
  <c r="P80" i="77"/>
  <c r="Q79" i="77"/>
  <c r="Q78" i="77"/>
  <c r="Q77" i="77"/>
  <c r="Q75" i="77"/>
  <c r="N80" i="77"/>
  <c r="M74" i="77"/>
  <c r="N74" i="77" s="1"/>
  <c r="D82" i="77"/>
  <c r="S82" i="77" s="1"/>
  <c r="N87" i="77"/>
  <c r="J133" i="77"/>
  <c r="P54" i="77"/>
  <c r="P58" i="77"/>
  <c r="P48" i="77"/>
  <c r="Q48" i="77" s="1"/>
  <c r="K66" i="77"/>
  <c r="K133" i="77" s="1"/>
  <c r="Q29" i="77"/>
  <c r="Q67" i="77"/>
  <c r="Q27" i="77"/>
  <c r="Q70" i="77"/>
  <c r="Q28" i="77"/>
  <c r="Q72" i="77"/>
  <c r="Q135" i="77" s="1"/>
  <c r="P87" i="77"/>
  <c r="Q64" i="77"/>
  <c r="P98" i="77"/>
  <c r="Q98" i="77" s="1"/>
  <c r="Q24" i="77"/>
  <c r="P68" i="77"/>
  <c r="Q68" i="77" s="1"/>
  <c r="Q95" i="77"/>
  <c r="Q46" i="77"/>
  <c r="Q42" i="77"/>
  <c r="K58" i="77"/>
  <c r="Q139" i="77"/>
  <c r="Q96" i="77"/>
  <c r="N54" i="77"/>
  <c r="N52" i="77"/>
  <c r="P36" i="77"/>
  <c r="Q36" i="77" s="1"/>
  <c r="N30" i="77"/>
  <c r="G168" i="83"/>
  <c r="H168" i="83"/>
  <c r="D133" i="77"/>
  <c r="E66" i="77"/>
  <c r="E133" i="77" s="1"/>
  <c r="D134" i="77"/>
  <c r="E69" i="77"/>
  <c r="E134" i="77" s="1"/>
  <c r="N68" i="77"/>
  <c r="M117" i="77"/>
  <c r="M66" i="77"/>
  <c r="D132" i="77"/>
  <c r="E63" i="77"/>
  <c r="E132" i="77" s="1"/>
  <c r="J71" i="77"/>
  <c r="H71" i="77"/>
  <c r="G69" i="77"/>
  <c r="N97" i="77"/>
  <c r="M99" i="77"/>
  <c r="N99" i="77" s="1"/>
  <c r="J65" i="77"/>
  <c r="H65" i="77"/>
  <c r="G63" i="77"/>
  <c r="Q76" i="77" l="1"/>
  <c r="P60" i="77"/>
  <c r="G82" i="77"/>
  <c r="Q80" i="77"/>
  <c r="P74" i="77"/>
  <c r="Q74" i="77" s="1"/>
  <c r="Q97" i="77"/>
  <c r="Q87" i="77"/>
  <c r="T12" i="77"/>
  <c r="Q30" i="77"/>
  <c r="P99" i="77"/>
  <c r="Q99" i="77" s="1"/>
  <c r="P66" i="77"/>
  <c r="P117" i="77"/>
  <c r="N60" i="77"/>
  <c r="N58" i="77"/>
  <c r="Q54" i="77"/>
  <c r="Q52" i="77"/>
  <c r="D136" i="77"/>
  <c r="E176" i="83"/>
  <c r="E82" i="77"/>
  <c r="D84" i="77"/>
  <c r="E136" i="77"/>
  <c r="G132" i="77"/>
  <c r="H63" i="77"/>
  <c r="H132" i="77" s="1"/>
  <c r="H69" i="77"/>
  <c r="H134" i="77" s="1"/>
  <c r="G134" i="77"/>
  <c r="N66" i="77"/>
  <c r="N133" i="77" s="1"/>
  <c r="M133" i="77"/>
  <c r="K65" i="77"/>
  <c r="M65" i="77"/>
  <c r="J63" i="77"/>
  <c r="M71" i="77"/>
  <c r="K71" i="77"/>
  <c r="J69" i="77"/>
  <c r="J82" i="77" l="1"/>
  <c r="U12" i="77"/>
  <c r="U11" i="77"/>
  <c r="P133" i="77"/>
  <c r="T14" i="77"/>
  <c r="Q66" i="77"/>
  <c r="Q133" i="77" s="1"/>
  <c r="Q60" i="77"/>
  <c r="Q58" i="77"/>
  <c r="G136" i="77"/>
  <c r="H136" i="77"/>
  <c r="K69" i="77"/>
  <c r="K134" i="77" s="1"/>
  <c r="J134" i="77"/>
  <c r="H82" i="77"/>
  <c r="G84" i="77"/>
  <c r="P71" i="77"/>
  <c r="N71" i="77"/>
  <c r="M69" i="77"/>
  <c r="J132" i="77"/>
  <c r="K63" i="77"/>
  <c r="K132" i="77" s="1"/>
  <c r="D89" i="77"/>
  <c r="E84" i="77"/>
  <c r="P65" i="77"/>
  <c r="N65" i="77"/>
  <c r="M63" i="77"/>
  <c r="M82" i="77" l="1"/>
  <c r="U14" i="77"/>
  <c r="K136" i="77"/>
  <c r="J136" i="77"/>
  <c r="Q71" i="77"/>
  <c r="P69" i="77"/>
  <c r="H84" i="77"/>
  <c r="G89" i="77"/>
  <c r="D92" i="77"/>
  <c r="D101" i="77" s="1"/>
  <c r="E89" i="77"/>
  <c r="K82" i="77"/>
  <c r="J84" i="77"/>
  <c r="M132" i="77"/>
  <c r="N63" i="77"/>
  <c r="N132" i="77" s="1"/>
  <c r="Q65" i="77"/>
  <c r="P63" i="77"/>
  <c r="M134" i="77"/>
  <c r="N69" i="77"/>
  <c r="N134" i="77" s="1"/>
  <c r="P82" i="77" l="1"/>
  <c r="D107" i="77"/>
  <c r="D108" i="77"/>
  <c r="D104" i="77"/>
  <c r="E101" i="77"/>
  <c r="E92" i="77"/>
  <c r="M136" i="77"/>
  <c r="P132" i="77"/>
  <c r="Q63" i="77"/>
  <c r="Q132" i="77" s="1"/>
  <c r="N82" i="77"/>
  <c r="M84" i="77"/>
  <c r="H89" i="77"/>
  <c r="G92" i="77"/>
  <c r="G101" i="77" s="1"/>
  <c r="N136" i="77"/>
  <c r="P134" i="77"/>
  <c r="Q69" i="77"/>
  <c r="Q134" i="77" s="1"/>
  <c r="K84" i="77"/>
  <c r="J89" i="77"/>
  <c r="G107" i="77" l="1"/>
  <c r="G104" i="77"/>
  <c r="G108" i="77"/>
  <c r="H101" i="77"/>
  <c r="H92" i="77"/>
  <c r="D111" i="77"/>
  <c r="D110" i="77"/>
  <c r="E104" i="77"/>
  <c r="K89" i="77"/>
  <c r="J92" i="77"/>
  <c r="J101" i="77" s="1"/>
  <c r="M89" i="77"/>
  <c r="N84" i="77"/>
  <c r="Q82" i="77"/>
  <c r="P84" i="77"/>
  <c r="Q136" i="77"/>
  <c r="P136" i="77"/>
  <c r="J104" i="77" l="1"/>
  <c r="J108" i="77"/>
  <c r="J107" i="77"/>
  <c r="G111" i="77"/>
  <c r="G110" i="77"/>
  <c r="K101" i="77"/>
  <c r="K92" i="77"/>
  <c r="H104" i="77"/>
  <c r="N89" i="77"/>
  <c r="M92" i="77"/>
  <c r="M101" i="77" s="1"/>
  <c r="P89" i="77"/>
  <c r="Q84" i="77"/>
  <c r="M108" i="77" l="1"/>
  <c r="M104" i="77"/>
  <c r="M107" i="77"/>
  <c r="J110" i="77"/>
  <c r="J111" i="77"/>
  <c r="N101" i="77"/>
  <c r="N92" i="77"/>
  <c r="K104" i="77"/>
  <c r="P92" i="77"/>
  <c r="P101" i="77" s="1"/>
  <c r="Q89" i="77"/>
  <c r="M111" i="77" l="1"/>
  <c r="M110" i="77"/>
  <c r="P107" i="77"/>
  <c r="P104" i="77"/>
  <c r="P108" i="77"/>
  <c r="Q101" i="77"/>
  <c r="Q92" i="77"/>
  <c r="N104" i="77"/>
  <c r="P111" i="77" l="1"/>
  <c r="P110" i="77"/>
  <c r="Q104" i="77"/>
  <c r="T5" i="77" l="1"/>
</calcChain>
</file>

<file path=xl/sharedStrings.xml><?xml version="1.0" encoding="utf-8"?>
<sst xmlns="http://schemas.openxmlformats.org/spreadsheetml/2006/main" count="1375" uniqueCount="406">
  <si>
    <t>ADR</t>
  </si>
  <si>
    <t>水道光熱費</t>
  </si>
  <si>
    <t>Check</t>
    <phoneticPr fontId="23"/>
  </si>
  <si>
    <t>No of Rooms</t>
    <phoneticPr fontId="23"/>
  </si>
  <si>
    <t xml:space="preserve">No of Hotel Guests </t>
    <phoneticPr fontId="23"/>
  </si>
  <si>
    <t>Other Revenue</t>
  </si>
  <si>
    <t xml:space="preserve">Total </t>
    <phoneticPr fontId="23"/>
  </si>
  <si>
    <t>COGS</t>
    <phoneticPr fontId="23"/>
  </si>
  <si>
    <t>Personnel Expense</t>
    <phoneticPr fontId="23"/>
  </si>
  <si>
    <t>Other Expense</t>
    <phoneticPr fontId="23"/>
  </si>
  <si>
    <t>Department Expense</t>
    <phoneticPr fontId="23"/>
  </si>
  <si>
    <t>Department Profit</t>
    <phoneticPr fontId="23"/>
  </si>
  <si>
    <t>Administration and General</t>
  </si>
  <si>
    <t>Sales and Marketing</t>
  </si>
  <si>
    <t>Maintenance / Engineer</t>
  </si>
  <si>
    <t>Utilities</t>
  </si>
  <si>
    <t>Total</t>
  </si>
  <si>
    <t>Gross Operating Profit</t>
    <phoneticPr fontId="23"/>
  </si>
  <si>
    <t>Total</t>
    <phoneticPr fontId="23"/>
  </si>
  <si>
    <t>Rooms</t>
  </si>
  <si>
    <t>No of Days</t>
  </si>
  <si>
    <t xml:space="preserve">Available Room Nights </t>
  </si>
  <si>
    <t xml:space="preserve">Occupied Room Nights </t>
  </si>
  <si>
    <t xml:space="preserve">Occupancy </t>
  </si>
  <si>
    <t>RevPar</t>
  </si>
  <si>
    <t>No of Guest / Occ Room</t>
  </si>
  <si>
    <t>For Discussion Purposes Only</t>
    <phoneticPr fontId="30"/>
  </si>
  <si>
    <t>JPY</t>
    <phoneticPr fontId="30"/>
  </si>
  <si>
    <t>% Grth</t>
    <phoneticPr fontId="30"/>
  </si>
  <si>
    <t>Proforma</t>
    <phoneticPr fontId="30"/>
  </si>
  <si>
    <t>Year 1</t>
    <phoneticPr fontId="30"/>
  </si>
  <si>
    <t>Year 2</t>
    <phoneticPr fontId="30"/>
  </si>
  <si>
    <t>Year 3</t>
    <phoneticPr fontId="30"/>
  </si>
  <si>
    <t>Year 4</t>
    <phoneticPr fontId="30"/>
  </si>
  <si>
    <t>Year 5</t>
    <phoneticPr fontId="30"/>
  </si>
  <si>
    <t>Total</t>
    <phoneticPr fontId="30"/>
  </si>
  <si>
    <t>Personnel (FT)</t>
    <phoneticPr fontId="30"/>
  </si>
  <si>
    <t>Personnel (PT)</t>
    <phoneticPr fontId="30"/>
  </si>
  <si>
    <t>Total Personnel</t>
    <phoneticPr fontId="30"/>
  </si>
  <si>
    <t>Revenues</t>
    <phoneticPr fontId="30"/>
  </si>
  <si>
    <t>% Rev</t>
    <phoneticPr fontId="30"/>
  </si>
  <si>
    <t xml:space="preserve">Rooms </t>
    <phoneticPr fontId="30"/>
  </si>
  <si>
    <t>Dept</t>
    <phoneticPr fontId="30"/>
  </si>
  <si>
    <t>Undistributable Expense</t>
    <phoneticPr fontId="30"/>
  </si>
  <si>
    <t xml:space="preserve">  Personnel</t>
    <phoneticPr fontId="30"/>
  </si>
  <si>
    <t xml:space="preserve">  Other </t>
    <phoneticPr fontId="30"/>
  </si>
  <si>
    <t>below</t>
    <phoneticPr fontId="30"/>
  </si>
  <si>
    <t>House Profit</t>
    <phoneticPr fontId="23"/>
  </si>
  <si>
    <t>Base Management Fee</t>
    <phoneticPr fontId="30"/>
  </si>
  <si>
    <t>of GOR</t>
    <phoneticPr fontId="30"/>
  </si>
  <si>
    <t>Incentive Fee</t>
    <phoneticPr fontId="30"/>
  </si>
  <si>
    <t xml:space="preserve">of GOP </t>
  </si>
  <si>
    <t xml:space="preserve">Owner's Expense </t>
  </si>
  <si>
    <t>Property Tax</t>
    <phoneticPr fontId="30"/>
  </si>
  <si>
    <t>Property Insurance</t>
    <phoneticPr fontId="30"/>
  </si>
  <si>
    <t>FF&amp;E Reserve</t>
    <phoneticPr fontId="30"/>
  </si>
  <si>
    <t>Capex Reserve</t>
    <phoneticPr fontId="30"/>
  </si>
  <si>
    <t>Property NCF</t>
    <phoneticPr fontId="30"/>
  </si>
  <si>
    <t>Sales and Marketing - Other</t>
    <phoneticPr fontId="30"/>
  </si>
  <si>
    <t>Rooms  / Occ Room Night (JPY)</t>
    <phoneticPr fontId="30"/>
  </si>
  <si>
    <t>COGS</t>
    <phoneticPr fontId="30"/>
  </si>
  <si>
    <t>Personnel</t>
    <phoneticPr fontId="30"/>
  </si>
  <si>
    <t>Other</t>
    <phoneticPr fontId="30"/>
  </si>
  <si>
    <t>Total Costs</t>
    <phoneticPr fontId="30"/>
  </si>
  <si>
    <t>Department Profit</t>
    <phoneticPr fontId="30"/>
  </si>
  <si>
    <t>Undist Exp  / Occ Room Night (JPY)</t>
    <phoneticPr fontId="30"/>
  </si>
  <si>
    <t>Utilities</t>
    <phoneticPr fontId="30"/>
  </si>
  <si>
    <t>Personnel Expense</t>
    <phoneticPr fontId="30"/>
  </si>
  <si>
    <t>Check</t>
    <phoneticPr fontId="30"/>
  </si>
  <si>
    <t>Headcount</t>
    <phoneticPr fontId="30"/>
  </si>
  <si>
    <t>Personnel Expense / Headcount</t>
    <phoneticPr fontId="30"/>
  </si>
  <si>
    <t>Room Revenues</t>
    <phoneticPr fontId="30"/>
  </si>
  <si>
    <t>No of Rooms</t>
    <phoneticPr fontId="30"/>
  </si>
  <si>
    <t>Month</t>
    <phoneticPr fontId="30"/>
  </si>
  <si>
    <t>No of Days (all)</t>
    <phoneticPr fontId="30"/>
  </si>
  <si>
    <t>Available Room Nights</t>
    <phoneticPr fontId="30"/>
  </si>
  <si>
    <t xml:space="preserve">Occupied Room Nights </t>
    <phoneticPr fontId="30"/>
  </si>
  <si>
    <t xml:space="preserve">Occupancy </t>
    <phoneticPr fontId="30"/>
  </si>
  <si>
    <t xml:space="preserve">ADR </t>
    <phoneticPr fontId="30"/>
  </si>
  <si>
    <t xml:space="preserve">RevPar </t>
    <phoneticPr fontId="30"/>
  </si>
  <si>
    <t>Total Guest Count</t>
    <phoneticPr fontId="23"/>
  </si>
  <si>
    <t>No of Guests per Day</t>
    <phoneticPr fontId="30"/>
  </si>
  <si>
    <t xml:space="preserve">Room Nights </t>
    <phoneticPr fontId="30"/>
  </si>
  <si>
    <t>Type</t>
  </si>
  <si>
    <t>Size (sqm)</t>
  </si>
  <si>
    <t xml:space="preserve">Total </t>
    <phoneticPr fontId="30"/>
  </si>
  <si>
    <t xml:space="preserve">Occupancy  </t>
    <phoneticPr fontId="30"/>
  </si>
  <si>
    <t>vs. Jan:</t>
  </si>
  <si>
    <t xml:space="preserve">Room Revenue </t>
    <phoneticPr fontId="30"/>
  </si>
  <si>
    <t>Proforma KPIs</t>
    <phoneticPr fontId="30"/>
  </si>
  <si>
    <t>Occupancy</t>
    <phoneticPr fontId="30"/>
  </si>
  <si>
    <t>Welfare</t>
    <phoneticPr fontId="30"/>
  </si>
  <si>
    <t>Staffing Salary</t>
    <phoneticPr fontId="30"/>
  </si>
  <si>
    <t>Base Mo Salary</t>
  </si>
  <si>
    <t>Welfare Salary</t>
    <phoneticPr fontId="30"/>
  </si>
  <si>
    <t>Transportation</t>
  </si>
  <si>
    <t xml:space="preserve">Housing </t>
    <phoneticPr fontId="30"/>
  </si>
  <si>
    <t>Bonus</t>
    <phoneticPr fontId="30"/>
  </si>
  <si>
    <t>Welfare Bonus</t>
    <phoneticPr fontId="30"/>
  </si>
  <si>
    <t>Welfare Total</t>
    <phoneticPr fontId="30"/>
  </si>
  <si>
    <t>Total Mo</t>
    <phoneticPr fontId="30"/>
  </si>
  <si>
    <t>Total Yr</t>
    <phoneticPr fontId="30"/>
  </si>
  <si>
    <t>Year 1 Month</t>
    <phoneticPr fontId="30"/>
  </si>
  <si>
    <t>Administration</t>
  </si>
  <si>
    <t>Operation Manager</t>
  </si>
  <si>
    <t>MGR</t>
    <phoneticPr fontId="30"/>
  </si>
  <si>
    <t>Front/Concierge/Bell</t>
  </si>
  <si>
    <t>Manager</t>
  </si>
  <si>
    <t>Assistant Manager</t>
  </si>
  <si>
    <t>AM</t>
  </si>
  <si>
    <t>Team Leader</t>
  </si>
  <si>
    <t>TL</t>
  </si>
  <si>
    <t>Guest Service Officer</t>
  </si>
  <si>
    <t>R&amp;F</t>
  </si>
  <si>
    <t>PT</t>
  </si>
  <si>
    <t>Housekeeping</t>
  </si>
  <si>
    <t>MGR</t>
  </si>
  <si>
    <t>Reservations/Operator</t>
  </si>
  <si>
    <t>Staffing Personnel</t>
    <phoneticPr fontId="30"/>
  </si>
  <si>
    <t>FT/PT</t>
    <phoneticPr fontId="30"/>
  </si>
  <si>
    <t>FT</t>
    <phoneticPr fontId="30"/>
  </si>
  <si>
    <t>PT</t>
    <phoneticPr fontId="30"/>
  </si>
  <si>
    <t>Staffing Personnel Expense</t>
    <phoneticPr fontId="30"/>
  </si>
  <si>
    <t>Other Costs</t>
    <phoneticPr fontId="30"/>
  </si>
  <si>
    <t>Year 1</t>
  </si>
  <si>
    <t>Room Nights</t>
  </si>
  <si>
    <t>Breakdown</t>
  </si>
  <si>
    <t>Percentage</t>
  </si>
  <si>
    <t>Fee %</t>
  </si>
  <si>
    <t>Room Rev</t>
  </si>
  <si>
    <t>Guest Count</t>
  </si>
  <si>
    <t xml:space="preserve">Available Room Nights </t>
    <phoneticPr fontId="30"/>
  </si>
  <si>
    <t xml:space="preserve">Guest Count </t>
    <phoneticPr fontId="30"/>
  </si>
  <si>
    <t>Per Occ Night</t>
    <phoneticPr fontId="30"/>
  </si>
  <si>
    <t>Per Guest</t>
    <phoneticPr fontId="30"/>
  </si>
  <si>
    <t>Per Occ Room</t>
    <phoneticPr fontId="30"/>
  </si>
  <si>
    <t>Year 1 PL</t>
    <phoneticPr fontId="30"/>
  </si>
  <si>
    <t>% Depart Rev</t>
  </si>
  <si>
    <t>Revenues</t>
  </si>
  <si>
    <t>COGS</t>
  </si>
  <si>
    <t>Other</t>
  </si>
  <si>
    <t>Total Expenses</t>
  </si>
  <si>
    <t>Department Profit</t>
  </si>
  <si>
    <t>Head Count</t>
    <phoneticPr fontId="30"/>
  </si>
  <si>
    <t>Rooms</t>
    <phoneticPr fontId="23"/>
  </si>
  <si>
    <t>No of Staff</t>
    <phoneticPr fontId="30"/>
  </si>
  <si>
    <t>Full Salary</t>
    <phoneticPr fontId="30"/>
  </si>
  <si>
    <t>Year 1 Total</t>
    <phoneticPr fontId="30"/>
  </si>
  <si>
    <t>Total Guest Count</t>
    <phoneticPr fontId="30"/>
  </si>
  <si>
    <t>Year 1</t>
    <phoneticPr fontId="23"/>
  </si>
  <si>
    <t xml:space="preserve">  per Day</t>
    <phoneticPr fontId="30"/>
  </si>
  <si>
    <t>Breakfast Revenues</t>
  </si>
  <si>
    <t>No of Seats</t>
    <phoneticPr fontId="30"/>
  </si>
  <si>
    <t xml:space="preserve">Hotel Guest Covers  </t>
    <phoneticPr fontId="30"/>
  </si>
  <si>
    <t>Hotel Guest Cover / Day</t>
    <phoneticPr fontId="30"/>
  </si>
  <si>
    <t>Hotel Guest Revenue</t>
    <phoneticPr fontId="30"/>
  </si>
  <si>
    <t>Walk In Covers</t>
  </si>
  <si>
    <t>Walk In Cover / Day</t>
    <phoneticPr fontId="30"/>
  </si>
  <si>
    <t>Walk In Revenues</t>
  </si>
  <si>
    <t>Total Covers / Month</t>
    <phoneticPr fontId="30"/>
  </si>
  <si>
    <t>Average Cover / Day</t>
  </si>
  <si>
    <t>Average Seat Turnover / Day (x)</t>
    <phoneticPr fontId="30"/>
  </si>
  <si>
    <t>Average Check / Cover</t>
  </si>
  <si>
    <t>Total Revenues</t>
  </si>
  <si>
    <t>Lunch Revenues</t>
    <phoneticPr fontId="30"/>
  </si>
  <si>
    <t>Dinner Revenues</t>
    <phoneticPr fontId="30"/>
  </si>
  <si>
    <t>Average Check / Cover</t>
    <phoneticPr fontId="30"/>
  </si>
  <si>
    <t>Breakfast</t>
  </si>
  <si>
    <t>Lunch</t>
    <phoneticPr fontId="30"/>
  </si>
  <si>
    <t>Dinner</t>
    <phoneticPr fontId="30"/>
  </si>
  <si>
    <t>Avg Covers per Day</t>
    <phoneticPr fontId="30"/>
  </si>
  <si>
    <t>Average Check</t>
    <phoneticPr fontId="30"/>
  </si>
  <si>
    <t>% of FB Covers</t>
    <phoneticPr fontId="30"/>
  </si>
  <si>
    <t>Total Covers per Month</t>
    <phoneticPr fontId="30"/>
  </si>
  <si>
    <t>per  Cover</t>
    <phoneticPr fontId="30"/>
  </si>
  <si>
    <t>All Day Dining</t>
  </si>
  <si>
    <t>Waiter/Waitress</t>
  </si>
  <si>
    <t>Cullinary-All Day</t>
  </si>
  <si>
    <t>Chef de Cuisine</t>
  </si>
  <si>
    <t>Sous Chef</t>
  </si>
  <si>
    <t xml:space="preserve">Chef de Partie </t>
  </si>
  <si>
    <t>Commis</t>
  </si>
  <si>
    <t xml:space="preserve">Commis </t>
  </si>
  <si>
    <t>COGS / Other Costs</t>
    <phoneticPr fontId="30"/>
  </si>
  <si>
    <t>Personnel Costs</t>
    <phoneticPr fontId="30"/>
  </si>
  <si>
    <t>食材・飲料原価</t>
    <phoneticPr fontId="30"/>
  </si>
  <si>
    <t>No of Covers</t>
    <phoneticPr fontId="23"/>
  </si>
  <si>
    <t>Breakfast</t>
    <phoneticPr fontId="23"/>
  </si>
  <si>
    <t>Payroll</t>
  </si>
  <si>
    <t>Lunch</t>
    <phoneticPr fontId="23"/>
  </si>
  <si>
    <t>Dinner</t>
    <phoneticPr fontId="23"/>
  </si>
  <si>
    <t>Western Dining</t>
    <phoneticPr fontId="30"/>
  </si>
  <si>
    <t>Year 2</t>
  </si>
  <si>
    <t>Year 3</t>
  </si>
  <si>
    <t>Year 4</t>
  </si>
  <si>
    <t>Year 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</si>
  <si>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</si>
  <si>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</si>
  <si>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</si>
  <si>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</si>
  <si>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</si>
  <si>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</si>
  <si>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</si>
  <si>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</si>
  <si>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</si>
  <si>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</si>
  <si>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</si>
  <si>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</si>
  <si>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Mo</t>
    <phoneticPr fontId="34"/>
  </si>
  <si>
    <t>Personnel Costs</t>
    <phoneticPr fontId="34"/>
  </si>
  <si>
    <t>原価</t>
    <phoneticPr fontId="30"/>
  </si>
  <si>
    <t>PL</t>
    <phoneticPr fontId="30"/>
  </si>
  <si>
    <t>Undistributable Expenses</t>
    <phoneticPr fontId="30"/>
  </si>
  <si>
    <t>A&amp;G</t>
    <phoneticPr fontId="30"/>
  </si>
  <si>
    <t>Project Leader</t>
  </si>
  <si>
    <t>DH</t>
  </si>
  <si>
    <t>Executive Office</t>
  </si>
  <si>
    <t>Assistant to GM</t>
  </si>
  <si>
    <t>Admin &amp; Finance</t>
  </si>
  <si>
    <t>Dir of Admin &amp; Finance</t>
  </si>
  <si>
    <t>Finance</t>
  </si>
  <si>
    <t>Finance Officer</t>
  </si>
  <si>
    <t>Information System</t>
  </si>
  <si>
    <t>Material</t>
  </si>
  <si>
    <t>Material Officer</t>
  </si>
  <si>
    <t>Human Resources</t>
  </si>
  <si>
    <t>HR Officer</t>
  </si>
  <si>
    <t>Learning/Training</t>
  </si>
  <si>
    <t>Sales &amp; Marketing</t>
    <phoneticPr fontId="30"/>
  </si>
  <si>
    <t>S&amp;M</t>
  </si>
  <si>
    <t>Marketing Manager</t>
  </si>
  <si>
    <t>Sales</t>
  </si>
  <si>
    <t>Sales Assistant Manager</t>
  </si>
  <si>
    <t>Sales &amp; Marketing</t>
  </si>
  <si>
    <t>Coordinator/Admin</t>
  </si>
  <si>
    <t>Engineering</t>
    <phoneticPr fontId="30"/>
  </si>
  <si>
    <t>ENG &amp; POMEC</t>
  </si>
  <si>
    <t>Enginering Officer</t>
  </si>
  <si>
    <t>一般管理部門</t>
    <phoneticPr fontId="30"/>
  </si>
  <si>
    <t>客室数</t>
  </si>
  <si>
    <t>営業マーケティング部門</t>
    <phoneticPr fontId="30"/>
  </si>
  <si>
    <t>GOR</t>
    <phoneticPr fontId="32"/>
  </si>
  <si>
    <t>HMJO委託料</t>
  </si>
  <si>
    <t>Monthly</t>
  </si>
  <si>
    <t>tsubo</t>
    <phoneticPr fontId="30"/>
  </si>
  <si>
    <t>Sqm</t>
    <phoneticPr fontId="30"/>
  </si>
  <si>
    <t>sqm</t>
    <phoneticPr fontId="23"/>
  </si>
  <si>
    <t>施設維持管理部門</t>
    <phoneticPr fontId="30"/>
  </si>
  <si>
    <t>修繕費 / Mo</t>
    <phoneticPr fontId="30"/>
  </si>
  <si>
    <t>水道光熱費</t>
    <phoneticPr fontId="30"/>
  </si>
  <si>
    <t>Occ Room Night</t>
    <phoneticPr fontId="30"/>
  </si>
  <si>
    <t>TOTAL</t>
    <phoneticPr fontId="30"/>
  </si>
  <si>
    <t>per Occ Night</t>
    <phoneticPr fontId="30"/>
  </si>
  <si>
    <t>per Avail Night</t>
    <phoneticPr fontId="30"/>
  </si>
  <si>
    <t>Administrative and General</t>
  </si>
  <si>
    <t>一般管理部門</t>
  </si>
  <si>
    <t>Personnel</t>
    <phoneticPr fontId="2"/>
  </si>
  <si>
    <t>Other Expenses</t>
    <phoneticPr fontId="2"/>
  </si>
  <si>
    <t>営業マーケティング部門</t>
  </si>
  <si>
    <t>施設維持管理部門</t>
  </si>
  <si>
    <t xml:space="preserve">Total Personnel </t>
    <phoneticPr fontId="30"/>
  </si>
  <si>
    <t xml:space="preserve">Total Other </t>
    <phoneticPr fontId="30"/>
  </si>
  <si>
    <t>Undistributable</t>
    <phoneticPr fontId="30"/>
  </si>
  <si>
    <t>A&amp;G</t>
    <phoneticPr fontId="34"/>
  </si>
  <si>
    <t>Sales</t>
    <phoneticPr fontId="30"/>
  </si>
  <si>
    <t>Maint/Engin</t>
    <phoneticPr fontId="30"/>
  </si>
  <si>
    <t>Staffing</t>
  </si>
  <si>
    <t>Head Count / Salary</t>
    <phoneticPr fontId="30"/>
  </si>
  <si>
    <t>Year 1 Month</t>
    <phoneticPr fontId="23"/>
  </si>
  <si>
    <t>Enginnering</t>
    <phoneticPr fontId="30"/>
  </si>
  <si>
    <t>Rooms</t>
    <phoneticPr fontId="30"/>
  </si>
  <si>
    <t>Head Count; FT / PT</t>
    <phoneticPr fontId="30"/>
  </si>
  <si>
    <t xml:space="preserve"> FT</t>
    <phoneticPr fontId="30"/>
  </si>
  <si>
    <t xml:space="preserve"> PT</t>
    <phoneticPr fontId="30"/>
  </si>
  <si>
    <t xml:space="preserve">Undistributable </t>
    <phoneticPr fontId="30"/>
  </si>
  <si>
    <t xml:space="preserve">Personnel Costs </t>
    <phoneticPr fontId="30"/>
  </si>
  <si>
    <t>Year 1</t>
    <phoneticPr fontId="23"/>
  </si>
  <si>
    <t>Other Revenue</t>
    <phoneticPr fontId="30"/>
  </si>
  <si>
    <t>Area</t>
    <phoneticPr fontId="34"/>
  </si>
  <si>
    <t>Other Revenue</t>
    <phoneticPr fontId="23"/>
  </si>
  <si>
    <t>Manager</t>
    <phoneticPr fontId="23"/>
  </si>
  <si>
    <t>Part Time</t>
    <phoneticPr fontId="23"/>
  </si>
  <si>
    <t>Team Leader 1</t>
    <phoneticPr fontId="23"/>
  </si>
  <si>
    <t>Team Leader 2</t>
    <phoneticPr fontId="23"/>
  </si>
  <si>
    <t>TL 1</t>
    <phoneticPr fontId="23"/>
  </si>
  <si>
    <t>TL 2</t>
    <phoneticPr fontId="23"/>
  </si>
  <si>
    <t>Tsubo</t>
    <phoneticPr fontId="23"/>
  </si>
  <si>
    <t>Occupancy</t>
    <phoneticPr fontId="23"/>
  </si>
  <si>
    <t>Rent / Tsubo / Mo</t>
    <phoneticPr fontId="30"/>
  </si>
  <si>
    <t>Tenant 1</t>
    <phoneticPr fontId="30"/>
  </si>
  <si>
    <t>Tenant 2</t>
    <phoneticPr fontId="30"/>
  </si>
  <si>
    <t>Tenant 3</t>
    <phoneticPr fontId="30"/>
  </si>
  <si>
    <t>Parking</t>
    <phoneticPr fontId="30"/>
  </si>
  <si>
    <t>No of Spaces</t>
    <phoneticPr fontId="34"/>
  </si>
  <si>
    <t>Parking Fee / Day</t>
    <phoneticPr fontId="30"/>
  </si>
  <si>
    <t>Other Revenues</t>
    <phoneticPr fontId="30"/>
  </si>
  <si>
    <t xml:space="preserve">Utilities </t>
    <phoneticPr fontId="30"/>
  </si>
  <si>
    <t>Other</t>
    <phoneticPr fontId="23"/>
  </si>
  <si>
    <t>Room Sizes</t>
    <phoneticPr fontId="23"/>
  </si>
  <si>
    <t>Type</t>
    <phoneticPr fontId="23"/>
  </si>
  <si>
    <t>Bed Size (cm)</t>
    <phoneticPr fontId="23"/>
  </si>
  <si>
    <t>Room Size (sqm) Range</t>
    <phoneticPr fontId="23"/>
  </si>
  <si>
    <t>Avg Room Size (sqm)</t>
    <phoneticPr fontId="23"/>
  </si>
  <si>
    <t xml:space="preserve">Room Rate </t>
    <phoneticPr fontId="30"/>
  </si>
  <si>
    <t>Number of Rooms</t>
    <phoneticPr fontId="30"/>
  </si>
  <si>
    <t>KPIs</t>
    <phoneticPr fontId="23"/>
  </si>
  <si>
    <t>MOD</t>
    <phoneticPr fontId="23"/>
  </si>
  <si>
    <t>Restaurant</t>
    <phoneticPr fontId="30"/>
  </si>
  <si>
    <t>Restaurant</t>
    <phoneticPr fontId="23"/>
  </si>
  <si>
    <t>(before c tax)</t>
    <phoneticPr fontId="23"/>
  </si>
  <si>
    <t>Project Costs</t>
    <phoneticPr fontId="30"/>
  </si>
  <si>
    <t>Cost</t>
    <phoneticPr fontId="30"/>
  </si>
  <si>
    <t>per room</t>
    <phoneticPr fontId="30"/>
  </si>
  <si>
    <t>Purchase Price (inc FF&amp;E)</t>
    <phoneticPr fontId="30"/>
  </si>
  <si>
    <t>New Signage, etc.</t>
    <phoneticPr fontId="30"/>
  </si>
  <si>
    <t>OSE, etc</t>
    <phoneticPr fontId="30"/>
  </si>
  <si>
    <t>mos</t>
    <phoneticPr fontId="30"/>
  </si>
  <si>
    <t>Working Capital</t>
    <phoneticPr fontId="30"/>
  </si>
  <si>
    <t>Total Cost</t>
    <phoneticPr fontId="30"/>
  </si>
  <si>
    <t>Depart Exp Year 1</t>
    <phoneticPr fontId="30"/>
  </si>
  <si>
    <t>Undist Exp Year 1</t>
    <phoneticPr fontId="30"/>
  </si>
  <si>
    <t>NOI Yield to Purchase Price</t>
    <phoneticPr fontId="30"/>
  </si>
  <si>
    <t>NOI Yield to Total Cost</t>
    <phoneticPr fontId="30"/>
  </si>
  <si>
    <t>NCF Yield to Purchase Price</t>
    <phoneticPr fontId="30"/>
  </si>
  <si>
    <t>NCF Yield to Total Cost</t>
    <phoneticPr fontId="30"/>
  </si>
  <si>
    <t>STR 2019</t>
    <phoneticPr fontId="23"/>
  </si>
  <si>
    <t>per sqm</t>
    <phoneticPr fontId="23"/>
  </si>
  <si>
    <t>vs. Jan</t>
    <phoneticPr fontId="23"/>
  </si>
  <si>
    <t>Rooms</t>
    <phoneticPr fontId="23"/>
  </si>
  <si>
    <t>Total Room Area</t>
    <phoneticPr fontId="23"/>
  </si>
  <si>
    <t>Revenues</t>
    <phoneticPr fontId="23"/>
  </si>
  <si>
    <t>(spa)</t>
    <phoneticPr fontId="23"/>
  </si>
  <si>
    <t>Room</t>
    <phoneticPr fontId="23"/>
  </si>
  <si>
    <t>Other</t>
    <phoneticPr fontId="23"/>
  </si>
  <si>
    <t>Total</t>
    <phoneticPr fontId="23"/>
  </si>
  <si>
    <t>Area</t>
    <phoneticPr fontId="23"/>
  </si>
  <si>
    <t>Area</t>
    <phoneticPr fontId="25"/>
  </si>
  <si>
    <t>per room</t>
    <phoneticPr fontId="23"/>
  </si>
  <si>
    <t>MOD</t>
    <phoneticPr fontId="30"/>
  </si>
  <si>
    <t>MOD Charge: Yen Per Guest</t>
    <phoneticPr fontId="23"/>
  </si>
  <si>
    <t>No of Guests</t>
    <phoneticPr fontId="23"/>
  </si>
  <si>
    <t>MOD Revenue</t>
    <phoneticPr fontId="23"/>
  </si>
  <si>
    <t>COGS%</t>
    <phoneticPr fontId="23"/>
  </si>
  <si>
    <t>Tenant Income</t>
    <phoneticPr fontId="30"/>
  </si>
  <si>
    <t>Parking Income</t>
    <phoneticPr fontId="30"/>
  </si>
  <si>
    <t>Utilities (with spa)</t>
    <phoneticPr fontId="30"/>
  </si>
  <si>
    <t>Group Comm.</t>
  </si>
  <si>
    <t>x</t>
    <phoneticPr fontId="23"/>
  </si>
  <si>
    <t>y</t>
    <phoneticPr fontId="23"/>
  </si>
  <si>
    <t>Property NOI</t>
    <phoneticPr fontId="30"/>
  </si>
  <si>
    <t>Cullinary-Breakfast Service</t>
    <phoneticPr fontId="23"/>
  </si>
  <si>
    <t>Administration</t>
    <phoneticPr fontId="23"/>
  </si>
  <si>
    <t>Hotel Manager</t>
    <phoneticPr fontId="23"/>
  </si>
  <si>
    <t>Manager</t>
    <phoneticPr fontId="23"/>
  </si>
  <si>
    <t>Re-Branding Cost</t>
    <phoneticPr fontId="30"/>
  </si>
  <si>
    <t>Year 5</t>
    <phoneticPr fontId="23"/>
  </si>
  <si>
    <t>Junior Suite</t>
    <phoneticPr fontId="23"/>
  </si>
  <si>
    <t>Exec. Suite</t>
    <phoneticPr fontId="23"/>
  </si>
  <si>
    <t>Year 5</t>
    <phoneticPr fontId="23"/>
  </si>
  <si>
    <t>King</t>
    <phoneticPr fontId="23"/>
  </si>
  <si>
    <t>Double Double</t>
    <phoneticPr fontId="23"/>
  </si>
  <si>
    <t>Rev PAR</t>
    <phoneticPr fontId="30"/>
  </si>
  <si>
    <t>Family Suite</t>
    <phoneticPr fontId="23"/>
  </si>
  <si>
    <t>of GOR, capped at 50M, notional</t>
    <phoneticPr fontId="30"/>
  </si>
  <si>
    <t>Hotel xxxx</t>
  </si>
  <si>
    <t>Operator's Tech Fee</t>
  </si>
  <si>
    <t>委託料</t>
  </si>
  <si>
    <t>ADD</t>
  </si>
  <si>
    <t>xx fee</t>
  </si>
  <si>
    <t>yy fee</t>
  </si>
  <si>
    <t>zz fee</t>
  </si>
  <si>
    <t>Annual Fees</t>
  </si>
  <si>
    <t>広告宣伝費 x GOR</t>
  </si>
  <si>
    <t>S&amp;Mフィー x GOR</t>
  </si>
  <si>
    <t>その他 x GOR</t>
  </si>
  <si>
    <t>非配賦費用</t>
  </si>
  <si>
    <t>クレジットカード手数料</t>
  </si>
  <si>
    <t>利用率</t>
  </si>
  <si>
    <t>手数料率</t>
  </si>
  <si>
    <t>通信費</t>
  </si>
  <si>
    <t>単価</t>
  </si>
  <si>
    <t>その他経費</t>
  </si>
  <si>
    <t>経費率</t>
  </si>
  <si>
    <t>システム関連費用</t>
  </si>
  <si>
    <t>業務委託費(オペレータ本社経費）</t>
  </si>
  <si>
    <t>月額</t>
  </si>
  <si>
    <t>広告宣伝費</t>
  </si>
  <si>
    <t>S&amp;Mフィー</t>
  </si>
  <si>
    <t>その他</t>
  </si>
  <si>
    <t>施設管理費</t>
  </si>
  <si>
    <t>月坪</t>
  </si>
  <si>
    <t>※外部人件費含む</t>
  </si>
  <si>
    <t>修繕費</t>
  </si>
  <si>
    <t>保険（運営）</t>
  </si>
  <si>
    <t>年間</t>
  </si>
  <si>
    <t>原価率</t>
  </si>
  <si>
    <t>率</t>
  </si>
  <si>
    <t>客室清掃費</t>
  </si>
  <si>
    <t>室単価</t>
  </si>
  <si>
    <t>販売手数料</t>
  </si>
  <si>
    <t>海外OTA</t>
  </si>
  <si>
    <t>リネン費</t>
  </si>
  <si>
    <t>宿泊者単価</t>
  </si>
  <si>
    <t>国内OTA</t>
  </si>
  <si>
    <t>客室消耗品</t>
  </si>
  <si>
    <t>その他費用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</si>
</sst>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&quot;¥&quot;#,##0;[Red]&quot;¥&quot;\-#,##0"/>
    <numFmt numFmtId="165" formatCode="_ * #,##0_ ;_ * \-#,##0_ ;_ * &quot;-&quot;_ ;_ @_ "/>
    <numFmt numFmtId="166" formatCode="_ * #,##0.00_ ;_ * \-#,##0.00_ ;_ * &quot;-&quot;??_ ;_ @_ "/>
    <numFmt numFmtId="167" formatCode="_(* #,##0_);_(* \(#,##0\);_(* &quot;-&quot;_);_(@_)"/>
    <numFmt numFmtId="168" formatCode="_(* #,##0.00_);_(* \(#,##0.00\);_(* &quot;-&quot;??_);_(@_)"/>
    <numFmt numFmtId="169" formatCode="0.0%"/>
    <numFmt numFmtId="170" formatCode="0.0"/>
    <numFmt numFmtId="171" formatCode="_(* #,##0_);_(* \(#,##0\);_(* &quot;-&quot;??_);_(@_)"/>
    <numFmt numFmtId="172" formatCode="_(* #,##0.0_);_(* \(#,##0.0\);_(* &quot;-&quot;??_);_(@_)"/>
    <numFmt numFmtId="173" formatCode="_(* #,##0_);_(* \(#,##0\);_(* &quot;-&quot;?_);_(@_)"/>
    <numFmt numFmtId="174" formatCode="#,##0.0_);[Red]\(#,##0.0\)"/>
    <numFmt numFmtId="175" formatCode="[$-409]mmm\-yy;@"/>
    <numFmt numFmtId="191" formatCode="#,##0_ "/>
  </numFmts>
  <fonts count="6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u/>
      <sz val="13"/>
      <color theme="10"/>
      <name val="Meiryo UI"/>
      <family val="3"/>
      <charset val="128"/>
    </font>
    <font>
      <u/>
      <sz val="11"/>
      <color theme="11"/>
      <name val="Calibri"/>
      <family val="2"/>
      <charset val="128"/>
      <scheme val="minor"/>
    </font>
    <font>
      <sz val="11"/>
      <color rgb="FF000000"/>
      <name val="Calibri"/>
      <family val="2"/>
      <scheme val="minor"/>
    </font>
    <font>
      <sz val="6"/>
      <name val="Calibri"/>
      <family val="3"/>
      <charset val="128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12"/>
      <name val="新細明體"/>
      <family val="1"/>
      <charset val="136"/>
    </font>
    <font>
      <sz val="10"/>
      <name val="ＭＳ 明朝"/>
      <family val="1"/>
    </font>
    <font>
      <sz val="12"/>
      <name val="宋体"/>
      <charset val="134"/>
    </font>
    <font>
      <sz val="11"/>
      <color indexed="8"/>
      <name val="ＭＳ Ｐゴシック"/>
      <family val="3"/>
      <charset val="128"/>
    </font>
    <font>
      <sz val="12"/>
      <name val="宋体"/>
      <family val="3"/>
      <charset val="128"/>
    </font>
    <font>
      <sz val="10"/>
      <name val="MS Gothic"/>
      <family val="3"/>
    </font>
    <font>
      <b/>
      <sz val="10"/>
      <name val="MS Gothic"/>
      <family val="3"/>
    </font>
    <font>
      <b/>
      <sz val="10"/>
      <color theme="1"/>
      <name val="MS Gothic"/>
      <family val="3"/>
    </font>
    <font>
      <sz val="10"/>
      <color theme="1"/>
      <name val="MS Gothic"/>
      <family val="3"/>
    </font>
    <font>
      <sz val="10"/>
      <color rgb="FF0000FF"/>
      <name val="MS Gothic"/>
      <family val="3"/>
    </font>
    <font>
      <sz val="10"/>
      <color rgb="FF0070C0"/>
      <name val="MS Gothic"/>
      <family val="3"/>
    </font>
    <font>
      <sz val="9"/>
      <color theme="1"/>
      <name val="MS Gothic"/>
      <family val="3"/>
    </font>
    <font>
      <u/>
      <sz val="10"/>
      <color theme="1"/>
      <name val="MS Gothic"/>
      <family val="3"/>
    </font>
    <font>
      <sz val="10"/>
      <color theme="4"/>
      <name val="MS Gothic"/>
      <family val="3"/>
    </font>
    <font>
      <sz val="10"/>
      <color theme="8" tint="-0.249977111117893"/>
      <name val="MS Gothic"/>
      <family val="3"/>
    </font>
    <font>
      <u/>
      <sz val="10"/>
      <name val="MS Gothic"/>
      <family val="3"/>
    </font>
    <font>
      <sz val="10"/>
      <color rgb="FFFF0000"/>
      <name val="MS Gothic"/>
      <family val="3"/>
    </font>
    <font>
      <b/>
      <sz val="10"/>
      <color theme="4"/>
      <name val="MS Gothic"/>
      <family val="3"/>
    </font>
    <font>
      <u/>
      <sz val="10"/>
      <color theme="10"/>
      <name val="MS Gothic"/>
      <family val="3"/>
    </font>
    <font>
      <i/>
      <sz val="10"/>
      <color theme="1"/>
      <name val="MS Gothic"/>
      <family val="3"/>
    </font>
    <font>
      <i/>
      <sz val="10"/>
      <color theme="4"/>
      <name val="MS Gothic"/>
      <family val="3"/>
    </font>
    <font>
      <i/>
      <sz val="10"/>
      <name val="MS Gothic"/>
      <family val="3"/>
    </font>
    <font>
      <b/>
      <sz val="10"/>
      <color rgb="FFFF0000"/>
      <name val="MS Gothic"/>
      <family val="3"/>
    </font>
    <font>
      <sz val="10"/>
      <color theme="4" tint="-0.249977111117893"/>
      <name val="MS Gothic"/>
      <family val="3"/>
    </font>
    <font>
      <b/>
      <sz val="10"/>
      <color theme="4" tint="-0.249977111117893"/>
      <name val="MS Gothic"/>
      <family val="3"/>
    </font>
    <font>
      <b/>
      <u/>
      <sz val="10"/>
      <name val="MS Gothic"/>
      <family val="3"/>
    </font>
    <font>
      <sz val="10"/>
      <color theme="9" tint="-0.249977111117893"/>
      <name val="MS Gothic"/>
      <family val="3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BE8D9"/>
        <bgColor indexed="64"/>
      </patternFill>
    </fill>
    <fill>
      <patternFill patternType="solid">
        <fgColor theme="8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26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38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/>
    <xf numFmtId="0" fontId="24" fillId="0" borderId="0"/>
    <xf numFmtId="38" fontId="24" fillId="0" borderId="0" applyFont="0" applyFill="0" applyBorder="0" applyAlignment="0" applyProtection="0"/>
    <xf numFmtId="0" fontId="8" fillId="0" borderId="1" applyNumberFormat="0" applyFill="0" applyAlignment="0" applyProtection="0"/>
    <xf numFmtId="0" fontId="27" fillId="0" borderId="0" applyNumberFormat="0" applyFill="0" applyBorder="0" applyAlignment="0" applyProtection="0">
      <alignment vertical="center"/>
    </xf>
    <xf numFmtId="0" fontId="4" fillId="0" borderId="0"/>
    <xf numFmtId="38" fontId="4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/>
    <xf numFmtId="38" fontId="3" fillId="0" borderId="0" applyFont="0" applyFill="0" applyBorder="0" applyAlignment="0" applyProtection="0"/>
    <xf numFmtId="40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0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68" fontId="2" fillId="0" borderId="0" applyFont="0" applyFill="0" applyBorder="0" applyAlignment="0" applyProtection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1" fillId="0" borderId="0"/>
    <xf numFmtId="168" fontId="2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5" fillId="0" borderId="0"/>
    <xf numFmtId="38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0" fontId="26" fillId="0" borderId="0" applyFont="0" applyFill="0" applyBorder="0" applyAlignment="0" applyProtection="0">
      <alignment vertical="center"/>
    </xf>
    <xf numFmtId="0" fontId="24" fillId="0" borderId="0"/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165" fontId="3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37" fillId="0" borderId="0"/>
    <xf numFmtId="168" fontId="37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6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6" fontId="1" fillId="0" borderId="0" applyFont="0" applyFill="0" applyBorder="0" applyAlignment="0" applyProtection="0"/>
    <xf numFmtId="38" fontId="38" fillId="0" borderId="0" applyFont="0" applyFill="0" applyBorder="0" applyAlignment="0" applyProtection="0">
      <alignment vertical="center"/>
    </xf>
    <xf numFmtId="0" fontId="26" fillId="0" borderId="0"/>
    <xf numFmtId="166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24" fillId="0" borderId="0">
      <alignment vertical="center"/>
    </xf>
    <xf numFmtId="38" fontId="24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165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>
      <alignment vertical="center"/>
    </xf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9" fillId="0" borderId="0"/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1" fillId="0" borderId="0"/>
  </cellStyleXfs>
  <cellXfs count="827">
    <xf numFmtId="0" fontId="0" fillId="0" borderId="0" xfId="0">
      <alignment vertical="center"/>
    </xf>
    <xf numFmtId="0" fontId="40" fillId="0" borderId="0" xfId="65" applyFont="1"/>
    <xf numFmtId="38" fontId="41" fillId="0" borderId="32" xfId="70" applyFont="1" applyFill="1" applyBorder="1" applyAlignment="1">
      <alignment horizontal="right" vertical="center" shrinkToFit="1"/>
    </xf>
    <xf numFmtId="0" fontId="40" fillId="0" borderId="0" xfId="0" applyFont="1">
      <alignment vertical="center"/>
    </xf>
    <xf numFmtId="0" fontId="41" fillId="0" borderId="32" xfId="65" applyFont="1" applyBorder="1"/>
    <xf numFmtId="0" fontId="41" fillId="0" borderId="0" xfId="65" applyFont="1"/>
    <xf numFmtId="171" fontId="40" fillId="0" borderId="0" xfId="69" applyNumberFormat="1" applyFont="1" applyAlignment="1">
      <alignment vertical="center"/>
    </xf>
    <xf numFmtId="0" fontId="41" fillId="37" borderId="33" xfId="65" applyFont="1" applyFill="1" applyBorder="1" applyAlignment="1">
      <alignment vertical="top"/>
    </xf>
    <xf numFmtId="171" fontId="41" fillId="37" borderId="10" xfId="69" applyNumberFormat="1" applyFont="1" applyFill="1" applyBorder="1" applyAlignment="1">
      <alignment horizontal="center" vertical="top"/>
    </xf>
    <xf numFmtId="171" fontId="41" fillId="37" borderId="11" xfId="69" applyNumberFormat="1" applyFont="1" applyFill="1" applyBorder="1" applyAlignment="1">
      <alignment horizontal="center" vertical="top"/>
    </xf>
    <xf numFmtId="171" fontId="41" fillId="37" borderId="16" xfId="69" applyNumberFormat="1" applyFont="1" applyFill="1" applyBorder="1" applyAlignment="1">
      <alignment horizontal="center" vertical="top"/>
    </xf>
    <xf numFmtId="0" fontId="41" fillId="37" borderId="12" xfId="65" applyFont="1" applyFill="1" applyBorder="1" applyAlignment="1">
      <alignment horizontal="center"/>
    </xf>
    <xf numFmtId="0" fontId="40" fillId="37" borderId="34" xfId="65" applyFont="1" applyFill="1" applyBorder="1" applyAlignment="1">
      <alignment vertical="top"/>
    </xf>
    <xf numFmtId="171" fontId="40" fillId="37" borderId="10" xfId="69" applyNumberFormat="1" applyFont="1" applyFill="1" applyBorder="1" applyAlignment="1">
      <alignment horizontal="center" vertical="top"/>
    </xf>
    <xf numFmtId="0" fontId="40" fillId="37" borderId="14" xfId="65" applyFont="1" applyFill="1" applyBorder="1" applyAlignment="1">
      <alignment horizontal="center"/>
    </xf>
    <xf numFmtId="0" fontId="40" fillId="0" borderId="33" xfId="65" applyFont="1" applyBorder="1"/>
    <xf numFmtId="171" fontId="40" fillId="0" borderId="31" xfId="69" applyNumberFormat="1" applyFont="1" applyBorder="1" applyAlignment="1">
      <alignment vertical="center"/>
    </xf>
    <xf numFmtId="0" fontId="40" fillId="0" borderId="31" xfId="65" applyFont="1" applyBorder="1"/>
    <xf numFmtId="0" fontId="40" fillId="0" borderId="50" xfId="65" applyFont="1" applyBorder="1"/>
    <xf numFmtId="0" fontId="40" fillId="0" borderId="14" xfId="65" applyFont="1" applyBorder="1"/>
    <xf numFmtId="0" fontId="40" fillId="0" borderId="0" xfId="65" applyFont="1" applyAlignment="1">
      <alignment vertical="center"/>
    </xf>
    <xf numFmtId="0" fontId="40" fillId="0" borderId="41" xfId="65" applyFont="1" applyBorder="1" applyAlignment="1">
      <alignment vertical="center"/>
    </xf>
    <xf numFmtId="171" fontId="40" fillId="0" borderId="0" xfId="69" applyNumberFormat="1" applyFont="1" applyFill="1" applyBorder="1" applyAlignment="1">
      <alignment vertical="center" shrinkToFit="1"/>
    </xf>
    <xf numFmtId="38" fontId="40" fillId="0" borderId="0" xfId="59" applyNumberFormat="1" applyFont="1" applyFill="1" applyBorder="1" applyAlignment="1">
      <alignment vertical="center" shrinkToFit="1"/>
    </xf>
    <xf numFmtId="38" fontId="40" fillId="0" borderId="51" xfId="59" applyNumberFormat="1" applyFont="1" applyFill="1" applyBorder="1" applyAlignment="1">
      <alignment vertical="center" shrinkToFit="1"/>
    </xf>
    <xf numFmtId="38" fontId="40" fillId="0" borderId="14" xfId="59" applyNumberFormat="1" applyFont="1" applyBorder="1" applyAlignment="1">
      <alignment vertical="center"/>
    </xf>
    <xf numFmtId="0" fontId="40" fillId="0" borderId="41" xfId="65" applyFont="1" applyBorder="1"/>
    <xf numFmtId="171" fontId="40" fillId="0" borderId="0" xfId="69" applyNumberFormat="1" applyFont="1" applyBorder="1" applyAlignment="1">
      <alignment vertical="center"/>
    </xf>
    <xf numFmtId="171" fontId="40" fillId="0" borderId="0" xfId="69" applyNumberFormat="1" applyFont="1" applyBorder="1"/>
    <xf numFmtId="38" fontId="40" fillId="0" borderId="0" xfId="59" applyNumberFormat="1" applyFont="1" applyBorder="1" applyAlignment="1"/>
    <xf numFmtId="38" fontId="40" fillId="0" borderId="51" xfId="59" applyNumberFormat="1" applyFont="1" applyBorder="1" applyAlignment="1"/>
    <xf numFmtId="38" fontId="40" fillId="0" borderId="0" xfId="59" applyNumberFormat="1" applyFont="1" applyBorder="1" applyAlignment="1">
      <alignment vertical="center"/>
    </xf>
    <xf numFmtId="38" fontId="40" fillId="0" borderId="51" xfId="59" applyNumberFormat="1" applyFont="1" applyBorder="1" applyAlignment="1">
      <alignment vertical="center"/>
    </xf>
    <xf numFmtId="0" fontId="40" fillId="0" borderId="13" xfId="65" applyFont="1" applyBorder="1"/>
    <xf numFmtId="0" fontId="41" fillId="38" borderId="34" xfId="65" applyFont="1" applyFill="1" applyBorder="1"/>
    <xf numFmtId="171" fontId="41" fillId="38" borderId="32" xfId="69" applyNumberFormat="1" applyFont="1" applyFill="1" applyBorder="1" applyAlignment="1">
      <alignment vertical="center"/>
    </xf>
    <xf numFmtId="171" fontId="41" fillId="38" borderId="49" xfId="69" applyNumberFormat="1" applyFont="1" applyFill="1" applyBorder="1" applyAlignment="1">
      <alignment vertical="center"/>
    </xf>
    <xf numFmtId="171" fontId="41" fillId="38" borderId="10" xfId="69" applyNumberFormat="1" applyFont="1" applyFill="1" applyBorder="1" applyAlignment="1">
      <alignment vertical="center"/>
    </xf>
    <xf numFmtId="171" fontId="40" fillId="0" borderId="0" xfId="69" applyNumberFormat="1" applyFont="1"/>
    <xf numFmtId="38" fontId="40" fillId="0" borderId="0" xfId="59" applyNumberFormat="1" applyFont="1" applyAlignment="1"/>
    <xf numFmtId="171" fontId="40" fillId="0" borderId="31" xfId="69" applyNumberFormat="1" applyFont="1" applyBorder="1"/>
    <xf numFmtId="171" fontId="40" fillId="0" borderId="50" xfId="69" applyNumberFormat="1" applyFont="1" applyBorder="1"/>
    <xf numFmtId="171" fontId="40" fillId="0" borderId="51" xfId="69" applyNumberFormat="1" applyFont="1" applyBorder="1" applyAlignment="1">
      <alignment vertical="center"/>
    </xf>
    <xf numFmtId="171" fontId="40" fillId="37" borderId="11" xfId="69" applyNumberFormat="1" applyFont="1" applyFill="1" applyBorder="1" applyAlignment="1">
      <alignment horizontal="center" vertical="top"/>
    </xf>
    <xf numFmtId="171" fontId="40" fillId="37" borderId="16" xfId="69" applyNumberFormat="1" applyFont="1" applyFill="1" applyBorder="1" applyAlignment="1">
      <alignment horizontal="center" vertical="top"/>
    </xf>
    <xf numFmtId="0" fontId="41" fillId="0" borderId="33" xfId="65" applyFont="1" applyBorder="1"/>
    <xf numFmtId="171" fontId="40" fillId="0" borderId="51" xfId="69" applyNumberFormat="1" applyFont="1" applyBorder="1"/>
    <xf numFmtId="0" fontId="41" fillId="38" borderId="41" xfId="65" applyFont="1" applyFill="1" applyBorder="1"/>
    <xf numFmtId="171" fontId="41" fillId="38" borderId="0" xfId="69" applyNumberFormat="1" applyFont="1" applyFill="1" applyBorder="1" applyAlignment="1">
      <alignment vertical="center"/>
    </xf>
    <xf numFmtId="171" fontId="41" fillId="38" borderId="0" xfId="69" applyNumberFormat="1" applyFont="1" applyFill="1" applyBorder="1"/>
    <xf numFmtId="171" fontId="41" fillId="38" borderId="51" xfId="69" applyNumberFormat="1" applyFont="1" applyFill="1" applyBorder="1"/>
    <xf numFmtId="0" fontId="41" fillId="38" borderId="41" xfId="65" applyFont="1" applyFill="1" applyBorder="1" applyAlignment="1">
      <alignment vertical="center"/>
    </xf>
    <xf numFmtId="171" fontId="40" fillId="38" borderId="51" xfId="69" applyNumberFormat="1" applyFont="1" applyFill="1" applyBorder="1"/>
    <xf numFmtId="171" fontId="41" fillId="38" borderId="32" xfId="69" applyNumberFormat="1" applyFont="1" applyFill="1" applyBorder="1"/>
    <xf numFmtId="171" fontId="40" fillId="38" borderId="49" xfId="69" applyNumberFormat="1" applyFont="1" applyFill="1" applyBorder="1"/>
    <xf numFmtId="0" fontId="42" fillId="0" borderId="0" xfId="0" applyFont="1">
      <alignment vertical="center"/>
    </xf>
    <xf numFmtId="0" fontId="43" fillId="0" borderId="0" xfId="65" applyFont="1"/>
    <xf numFmtId="0" fontId="40" fillId="0" borderId="0" xfId="65" applyFont="1" applyAlignment="1">
      <alignment horizontal="right" indent="1"/>
    </xf>
    <xf numFmtId="0" fontId="42" fillId="0" borderId="0" xfId="65" applyFont="1"/>
    <xf numFmtId="171" fontId="43" fillId="0" borderId="0" xfId="69" applyNumberFormat="1" applyFont="1" applyBorder="1"/>
    <xf numFmtId="0" fontId="43" fillId="35" borderId="12" xfId="65" applyFont="1" applyFill="1" applyBorder="1" applyAlignment="1">
      <alignment horizontal="center"/>
    </xf>
    <xf numFmtId="0" fontId="43" fillId="35" borderId="50" xfId="65" applyFont="1" applyFill="1" applyBorder="1" applyAlignment="1">
      <alignment horizontal="center"/>
    </xf>
    <xf numFmtId="0" fontId="43" fillId="0" borderId="33" xfId="65" applyFont="1" applyBorder="1"/>
    <xf numFmtId="171" fontId="43" fillId="0" borderId="31" xfId="69" applyNumberFormat="1" applyFont="1" applyBorder="1"/>
    <xf numFmtId="171" fontId="43" fillId="0" borderId="50" xfId="69" applyNumberFormat="1" applyFont="1" applyBorder="1"/>
    <xf numFmtId="171" fontId="43" fillId="0" borderId="31" xfId="69" applyNumberFormat="1" applyFont="1" applyBorder="1" applyAlignment="1">
      <alignment horizontal="left"/>
    </xf>
    <xf numFmtId="0" fontId="43" fillId="0" borderId="41" xfId="65" applyFont="1" applyBorder="1"/>
    <xf numFmtId="169" fontId="43" fillId="0" borderId="51" xfId="65" applyNumberFormat="1" applyFont="1" applyBorder="1"/>
    <xf numFmtId="171" fontId="43" fillId="0" borderId="0" xfId="69" applyNumberFormat="1" applyFont="1" applyBorder="1" applyAlignment="1">
      <alignment horizontal="left"/>
    </xf>
    <xf numFmtId="171" fontId="43" fillId="0" borderId="51" xfId="69" applyNumberFormat="1" applyFont="1" applyBorder="1"/>
    <xf numFmtId="169" fontId="43" fillId="0" borderId="0" xfId="65" applyNumberFormat="1" applyFont="1"/>
    <xf numFmtId="0" fontId="43" fillId="0" borderId="51" xfId="65" applyFont="1" applyBorder="1"/>
    <xf numFmtId="0" fontId="43" fillId="0" borderId="34" xfId="65" applyFont="1" applyBorder="1"/>
    <xf numFmtId="171" fontId="43" fillId="0" borderId="32" xfId="69" applyNumberFormat="1" applyFont="1" applyBorder="1"/>
    <xf numFmtId="40" fontId="43" fillId="0" borderId="10" xfId="59" applyFont="1" applyFill="1" applyBorder="1" applyAlignment="1">
      <alignment horizontal="center"/>
    </xf>
    <xf numFmtId="171" fontId="43" fillId="0" borderId="49" xfId="69" applyNumberFormat="1" applyFont="1" applyBorder="1"/>
    <xf numFmtId="169" fontId="43" fillId="0" borderId="0" xfId="67" applyNumberFormat="1" applyFont="1"/>
    <xf numFmtId="0" fontId="42" fillId="0" borderId="33" xfId="65" applyFont="1" applyBorder="1" applyAlignment="1">
      <alignment horizontal="left"/>
    </xf>
    <xf numFmtId="0" fontId="42" fillId="0" borderId="50" xfId="65" applyFont="1" applyBorder="1" applyAlignment="1">
      <alignment horizontal="center"/>
    </xf>
    <xf numFmtId="171" fontId="42" fillId="0" borderId="0" xfId="69" applyNumberFormat="1" applyFont="1" applyBorder="1"/>
    <xf numFmtId="171" fontId="42" fillId="0" borderId="0" xfId="69" applyNumberFormat="1" applyFont="1"/>
    <xf numFmtId="0" fontId="40" fillId="0" borderId="34" xfId="73" applyFont="1" applyBorder="1" applyAlignment="1"/>
    <xf numFmtId="171" fontId="42" fillId="0" borderId="49" xfId="69" applyNumberFormat="1" applyFont="1" applyBorder="1"/>
    <xf numFmtId="38" fontId="43" fillId="0" borderId="0" xfId="65" applyNumberFormat="1" applyFont="1"/>
    <xf numFmtId="0" fontId="42" fillId="0" borderId="0" xfId="65" applyFont="1" applyAlignment="1">
      <alignment horizontal="center"/>
    </xf>
    <xf numFmtId="0" fontId="43" fillId="0" borderId="31" xfId="65" applyFont="1" applyBorder="1"/>
    <xf numFmtId="171" fontId="43" fillId="0" borderId="33" xfId="69" applyNumberFormat="1" applyFont="1" applyFill="1" applyBorder="1" applyAlignment="1">
      <alignment horizontal="right"/>
    </xf>
    <xf numFmtId="171" fontId="43" fillId="0" borderId="31" xfId="69" applyNumberFormat="1" applyFont="1" applyFill="1" applyBorder="1" applyAlignment="1">
      <alignment horizontal="right"/>
    </xf>
    <xf numFmtId="171" fontId="43" fillId="0" borderId="50" xfId="69" applyNumberFormat="1" applyFont="1" applyFill="1" applyBorder="1" applyAlignment="1">
      <alignment horizontal="right"/>
    </xf>
    <xf numFmtId="0" fontId="43" fillId="0" borderId="32" xfId="65" applyFont="1" applyBorder="1"/>
    <xf numFmtId="169" fontId="43" fillId="0" borderId="34" xfId="42" applyNumberFormat="1" applyFont="1" applyFill="1" applyBorder="1" applyAlignment="1">
      <alignment horizontal="right"/>
    </xf>
    <xf numFmtId="169" fontId="43" fillId="0" borderId="32" xfId="42" applyNumberFormat="1" applyFont="1" applyFill="1" applyBorder="1" applyAlignment="1">
      <alignment horizontal="right"/>
    </xf>
    <xf numFmtId="169" fontId="43" fillId="0" borderId="49" xfId="42" applyNumberFormat="1" applyFont="1" applyFill="1" applyBorder="1" applyAlignment="1">
      <alignment horizontal="right"/>
    </xf>
    <xf numFmtId="0" fontId="40" fillId="0" borderId="0" xfId="65" applyFont="1" applyAlignment="1">
      <alignment horizontal="center"/>
    </xf>
    <xf numFmtId="38" fontId="44" fillId="0" borderId="0" xfId="70" applyFont="1" applyFill="1" applyBorder="1" applyAlignment="1">
      <alignment horizontal="right" vertical="center" shrinkToFit="1"/>
    </xf>
    <xf numFmtId="168" fontId="43" fillId="38" borderId="12" xfId="69" applyFont="1" applyFill="1" applyBorder="1" applyAlignment="1">
      <alignment horizontal="center" vertical="top"/>
    </xf>
    <xf numFmtId="0" fontId="43" fillId="38" borderId="12" xfId="65" applyFont="1" applyFill="1" applyBorder="1" applyAlignment="1">
      <alignment horizontal="center" vertical="top"/>
    </xf>
    <xf numFmtId="38" fontId="42" fillId="38" borderId="46" xfId="70" applyFont="1" applyFill="1" applyBorder="1" applyAlignment="1">
      <alignment vertical="center"/>
    </xf>
    <xf numFmtId="0" fontId="43" fillId="38" borderId="52" xfId="65" applyFont="1" applyFill="1" applyBorder="1"/>
    <xf numFmtId="38" fontId="44" fillId="0" borderId="33" xfId="70" applyFont="1" applyFill="1" applyBorder="1" applyAlignment="1">
      <alignment horizontal="right" vertical="center" shrinkToFit="1"/>
    </xf>
    <xf numFmtId="38" fontId="40" fillId="0" borderId="31" xfId="70" applyFont="1" applyFill="1" applyBorder="1" applyAlignment="1">
      <alignment horizontal="right" vertical="center" shrinkToFit="1"/>
    </xf>
    <xf numFmtId="38" fontId="44" fillId="0" borderId="31" xfId="70" applyFont="1" applyFill="1" applyBorder="1" applyAlignment="1">
      <alignment horizontal="right" vertical="center" shrinkToFit="1"/>
    </xf>
    <xf numFmtId="38" fontId="40" fillId="0" borderId="50" xfId="70" applyFont="1" applyFill="1" applyBorder="1" applyAlignment="1">
      <alignment horizontal="right" vertical="center" shrinkToFit="1"/>
    </xf>
    <xf numFmtId="0" fontId="43" fillId="0" borderId="12" xfId="65" applyFont="1" applyBorder="1"/>
    <xf numFmtId="38" fontId="43" fillId="38" borderId="47" xfId="70" applyFont="1" applyFill="1" applyBorder="1" applyAlignment="1">
      <alignment vertical="center"/>
    </xf>
    <xf numFmtId="0" fontId="43" fillId="38" borderId="53" xfId="65" applyFont="1" applyFill="1" applyBorder="1"/>
    <xf numFmtId="38" fontId="44" fillId="0" borderId="41" xfId="70" applyFont="1" applyFill="1" applyBorder="1" applyAlignment="1">
      <alignment horizontal="right" vertical="center" shrinkToFit="1"/>
    </xf>
    <xf numFmtId="38" fontId="40" fillId="0" borderId="0" xfId="70" applyFont="1" applyFill="1" applyBorder="1" applyAlignment="1">
      <alignment horizontal="right" vertical="center" shrinkToFit="1"/>
    </xf>
    <xf numFmtId="38" fontId="40" fillId="0" borderId="51" xfId="70" applyFont="1" applyFill="1" applyBorder="1" applyAlignment="1">
      <alignment horizontal="right" vertical="center" shrinkToFit="1"/>
    </xf>
    <xf numFmtId="171" fontId="43" fillId="0" borderId="14" xfId="65" applyNumberFormat="1" applyFont="1" applyBorder="1"/>
    <xf numFmtId="0" fontId="43" fillId="38" borderId="54" xfId="65" applyFont="1" applyFill="1" applyBorder="1"/>
    <xf numFmtId="38" fontId="45" fillId="0" borderId="41" xfId="70" applyFont="1" applyFill="1" applyBorder="1" applyAlignment="1">
      <alignment horizontal="right" vertical="center" shrinkToFit="1"/>
    </xf>
    <xf numFmtId="38" fontId="43" fillId="38" borderId="48" xfId="70" applyFont="1" applyFill="1" applyBorder="1" applyAlignment="1">
      <alignment vertical="center"/>
    </xf>
    <xf numFmtId="0" fontId="43" fillId="0" borderId="14" xfId="65" applyFont="1" applyBorder="1"/>
    <xf numFmtId="38" fontId="42" fillId="38" borderId="48" xfId="70" applyFont="1" applyFill="1" applyBorder="1" applyAlignment="1">
      <alignment vertical="center"/>
    </xf>
    <xf numFmtId="0" fontId="42" fillId="38" borderId="56" xfId="65" applyFont="1" applyFill="1" applyBorder="1"/>
    <xf numFmtId="0" fontId="42" fillId="38" borderId="55" xfId="65" applyFont="1" applyFill="1" applyBorder="1"/>
    <xf numFmtId="38" fontId="42" fillId="0" borderId="34" xfId="70" applyFont="1" applyFill="1" applyBorder="1" applyAlignment="1">
      <alignment horizontal="right" vertical="center" shrinkToFit="1"/>
    </xf>
    <xf numFmtId="38" fontId="42" fillId="0" borderId="32" xfId="70" applyFont="1" applyFill="1" applyBorder="1" applyAlignment="1">
      <alignment horizontal="right" vertical="center" shrinkToFit="1"/>
    </xf>
    <xf numFmtId="38" fontId="42" fillId="0" borderId="49" xfId="70" applyFont="1" applyFill="1" applyBorder="1" applyAlignment="1">
      <alignment horizontal="right" vertical="center" shrinkToFit="1"/>
    </xf>
    <xf numFmtId="38" fontId="40" fillId="0" borderId="13" xfId="70" applyFont="1" applyFill="1" applyBorder="1" applyAlignment="1">
      <alignment horizontal="right" vertical="center" shrinkToFit="1"/>
    </xf>
    <xf numFmtId="171" fontId="42" fillId="37" borderId="10" xfId="65" applyNumberFormat="1" applyFont="1" applyFill="1" applyBorder="1"/>
    <xf numFmtId="171" fontId="44" fillId="0" borderId="33" xfId="69" applyNumberFormat="1" applyFont="1" applyFill="1" applyBorder="1" applyAlignment="1">
      <alignment horizontal="left" vertical="center" shrinkToFit="1"/>
    </xf>
    <xf numFmtId="171" fontId="44" fillId="0" borderId="31" xfId="69" applyNumberFormat="1" applyFont="1" applyFill="1" applyBorder="1" applyAlignment="1">
      <alignment horizontal="left" vertical="center" shrinkToFit="1"/>
    </xf>
    <xf numFmtId="171" fontId="44" fillId="0" borderId="50" xfId="69" applyNumberFormat="1" applyFont="1" applyFill="1" applyBorder="1" applyAlignment="1">
      <alignment horizontal="left" vertical="center" shrinkToFit="1"/>
    </xf>
    <xf numFmtId="38" fontId="43" fillId="38" borderId="46" xfId="70" applyFont="1" applyFill="1" applyBorder="1" applyAlignment="1">
      <alignment vertical="center"/>
    </xf>
    <xf numFmtId="171" fontId="43" fillId="0" borderId="31" xfId="65" applyNumberFormat="1" applyFont="1" applyBorder="1"/>
    <xf numFmtId="171" fontId="43" fillId="0" borderId="50" xfId="65" applyNumberFormat="1" applyFont="1" applyBorder="1"/>
    <xf numFmtId="171" fontId="44" fillId="0" borderId="41" xfId="69" applyNumberFormat="1" applyFont="1" applyFill="1" applyBorder="1" applyAlignment="1">
      <alignment horizontal="left" vertical="center" shrinkToFit="1"/>
    </xf>
    <xf numFmtId="171" fontId="44" fillId="0" borderId="0" xfId="69" applyNumberFormat="1" applyFont="1" applyFill="1" applyBorder="1" applyAlignment="1">
      <alignment horizontal="left" vertical="center" shrinkToFit="1"/>
    </xf>
    <xf numFmtId="171" fontId="44" fillId="0" borderId="51" xfId="69" applyNumberFormat="1" applyFont="1" applyFill="1" applyBorder="1" applyAlignment="1">
      <alignment horizontal="left" vertical="center" shrinkToFit="1"/>
    </xf>
    <xf numFmtId="171" fontId="43" fillId="0" borderId="0" xfId="65" applyNumberFormat="1" applyFont="1"/>
    <xf numFmtId="171" fontId="43" fillId="0" borderId="51" xfId="65" applyNumberFormat="1" applyFont="1" applyBorder="1"/>
    <xf numFmtId="38" fontId="42" fillId="38" borderId="56" xfId="70" applyFont="1" applyFill="1" applyBorder="1" applyAlignment="1">
      <alignment vertical="center"/>
    </xf>
    <xf numFmtId="171" fontId="43" fillId="0" borderId="32" xfId="65" applyNumberFormat="1" applyFont="1" applyBorder="1"/>
    <xf numFmtId="171" fontId="43" fillId="0" borderId="49" xfId="65" applyNumberFormat="1" applyFont="1" applyBorder="1"/>
    <xf numFmtId="171" fontId="43" fillId="0" borderId="0" xfId="69" applyNumberFormat="1" applyFont="1"/>
    <xf numFmtId="171" fontId="41" fillId="0" borderId="34" xfId="69" applyNumberFormat="1" applyFont="1" applyFill="1" applyBorder="1" applyAlignment="1">
      <alignment horizontal="left" vertical="center" shrinkToFit="1"/>
    </xf>
    <xf numFmtId="171" fontId="41" fillId="0" borderId="32" xfId="69" applyNumberFormat="1" applyFont="1" applyFill="1" applyBorder="1" applyAlignment="1">
      <alignment horizontal="left" vertical="center" shrinkToFit="1"/>
    </xf>
    <xf numFmtId="171" fontId="41" fillId="0" borderId="49" xfId="69" applyNumberFormat="1" applyFont="1" applyFill="1" applyBorder="1" applyAlignment="1">
      <alignment horizontal="left" vertical="center" shrinkToFit="1"/>
    </xf>
    <xf numFmtId="38" fontId="43" fillId="0" borderId="0" xfId="70" applyFont="1" applyFill="1" applyBorder="1" applyAlignment="1">
      <alignment horizontal="right" vertical="center" shrinkToFit="1"/>
    </xf>
    <xf numFmtId="38" fontId="44" fillId="0" borderId="0" xfId="70" applyFont="1" applyBorder="1" applyAlignment="1">
      <alignment horizontal="left" vertical="center" shrinkToFit="1"/>
    </xf>
    <xf numFmtId="1" fontId="43" fillId="0" borderId="0" xfId="65" applyNumberFormat="1" applyFont="1"/>
    <xf numFmtId="38" fontId="40" fillId="0" borderId="33" xfId="70" applyFont="1" applyFill="1" applyBorder="1" applyAlignment="1">
      <alignment horizontal="right" vertical="center" shrinkToFit="1"/>
    </xf>
    <xf numFmtId="38" fontId="40" fillId="0" borderId="41" xfId="70" applyFont="1" applyFill="1" applyBorder="1" applyAlignment="1">
      <alignment horizontal="right" vertical="center" shrinkToFit="1"/>
    </xf>
    <xf numFmtId="38" fontId="46" fillId="39" borderId="44" xfId="70" applyFont="1" applyFill="1" applyBorder="1" applyAlignment="1">
      <alignment vertical="center"/>
    </xf>
    <xf numFmtId="38" fontId="43" fillId="39" borderId="28" xfId="70" applyFont="1" applyFill="1" applyBorder="1" applyAlignment="1">
      <alignment vertical="center"/>
    </xf>
    <xf numFmtId="38" fontId="43" fillId="39" borderId="52" xfId="70" applyFont="1" applyFill="1" applyBorder="1" applyAlignment="1">
      <alignment vertical="center"/>
    </xf>
    <xf numFmtId="38" fontId="43" fillId="0" borderId="17" xfId="70" applyFont="1" applyFill="1" applyBorder="1" applyAlignment="1">
      <alignment vertical="center"/>
    </xf>
    <xf numFmtId="169" fontId="43" fillId="0" borderId="19" xfId="74" applyNumberFormat="1" applyFont="1" applyFill="1" applyBorder="1" applyAlignment="1">
      <alignment vertical="center"/>
    </xf>
    <xf numFmtId="38" fontId="43" fillId="0" borderId="52" xfId="70" applyFont="1" applyFill="1" applyBorder="1" applyAlignment="1">
      <alignment horizontal="right" vertical="center" shrinkToFit="1"/>
    </xf>
    <xf numFmtId="169" fontId="44" fillId="0" borderId="57" xfId="71" applyNumberFormat="1" applyFont="1" applyBorder="1" applyAlignment="1">
      <alignment horizontal="right" vertical="center" shrinkToFit="1"/>
    </xf>
    <xf numFmtId="38" fontId="43" fillId="0" borderId="28" xfId="70" applyFont="1" applyFill="1" applyBorder="1" applyAlignment="1">
      <alignment horizontal="right" vertical="center" shrinkToFit="1"/>
    </xf>
    <xf numFmtId="169" fontId="44" fillId="0" borderId="57" xfId="74" applyNumberFormat="1" applyFont="1" applyFill="1" applyBorder="1" applyAlignment="1">
      <alignment horizontal="left" vertical="center" shrinkToFit="1"/>
    </xf>
    <xf numFmtId="38" fontId="43" fillId="0" borderId="60" xfId="70" applyFont="1" applyFill="1" applyBorder="1" applyAlignment="1">
      <alignment horizontal="left" vertical="center" shrinkToFit="1"/>
    </xf>
    <xf numFmtId="38" fontId="43" fillId="39" borderId="37" xfId="70" applyFont="1" applyFill="1" applyBorder="1" applyAlignment="1">
      <alignment vertical="center"/>
    </xf>
    <xf numFmtId="38" fontId="43" fillId="39" borderId="29" xfId="70" applyFont="1" applyFill="1" applyBorder="1" applyAlignment="1">
      <alignment vertical="center"/>
    </xf>
    <xf numFmtId="38" fontId="43" fillId="39" borderId="53" xfId="70" applyFont="1" applyFill="1" applyBorder="1" applyAlignment="1">
      <alignment vertical="center"/>
    </xf>
    <xf numFmtId="38" fontId="43" fillId="0" borderId="20" xfId="70" applyFont="1" applyFill="1" applyBorder="1" applyAlignment="1">
      <alignment vertical="center"/>
    </xf>
    <xf numFmtId="169" fontId="43" fillId="0" borderId="22" xfId="74" applyNumberFormat="1" applyFont="1" applyFill="1" applyBorder="1" applyAlignment="1">
      <alignment vertical="center"/>
    </xf>
    <xf numFmtId="38" fontId="43" fillId="0" borderId="53" xfId="70" applyFont="1" applyFill="1" applyBorder="1" applyAlignment="1">
      <alignment horizontal="right" vertical="center" shrinkToFit="1"/>
    </xf>
    <xf numFmtId="38" fontId="44" fillId="0" borderId="58" xfId="70" applyFont="1" applyFill="1" applyBorder="1" applyAlignment="1">
      <alignment horizontal="right" vertical="center"/>
    </xf>
    <xf numFmtId="38" fontId="43" fillId="0" borderId="29" xfId="70" applyFont="1" applyFill="1" applyBorder="1" applyAlignment="1">
      <alignment horizontal="right" vertical="center" shrinkToFit="1"/>
    </xf>
    <xf numFmtId="38" fontId="43" fillId="0" borderId="58" xfId="70" applyFont="1" applyFill="1" applyBorder="1" applyAlignment="1">
      <alignment horizontal="left" vertical="center" shrinkToFit="1"/>
    </xf>
    <xf numFmtId="38" fontId="44" fillId="0" borderId="65" xfId="70" applyFont="1" applyFill="1" applyBorder="1" applyAlignment="1">
      <alignment horizontal="left" vertical="center" shrinkToFit="1"/>
    </xf>
    <xf numFmtId="169" fontId="44" fillId="0" borderId="58" xfId="71" applyNumberFormat="1" applyFont="1" applyFill="1" applyBorder="1" applyAlignment="1">
      <alignment horizontal="right" vertical="center" shrinkToFit="1"/>
    </xf>
    <xf numFmtId="38" fontId="43" fillId="0" borderId="65" xfId="70" applyFont="1" applyFill="1" applyBorder="1" applyAlignment="1">
      <alignment horizontal="left" vertical="center" shrinkToFit="1"/>
    </xf>
    <xf numFmtId="38" fontId="44" fillId="0" borderId="20" xfId="70" applyFont="1" applyFill="1" applyBorder="1" applyAlignment="1">
      <alignment vertical="center"/>
    </xf>
    <xf numFmtId="169" fontId="40" fillId="0" borderId="58" xfId="74" applyNumberFormat="1" applyFont="1" applyFill="1" applyBorder="1" applyAlignment="1">
      <alignment horizontal="right" vertical="center" indent="1" shrinkToFit="1"/>
    </xf>
    <xf numFmtId="38" fontId="40" fillId="0" borderId="20" xfId="70" applyFont="1" applyFill="1" applyBorder="1" applyAlignment="1">
      <alignment vertical="center"/>
    </xf>
    <xf numFmtId="169" fontId="43" fillId="0" borderId="24" xfId="74" applyNumberFormat="1" applyFont="1" applyFill="1" applyBorder="1" applyAlignment="1">
      <alignment vertical="center"/>
    </xf>
    <xf numFmtId="38" fontId="42" fillId="39" borderId="29" xfId="70" applyFont="1" applyFill="1" applyBorder="1" applyAlignment="1">
      <alignment vertical="center"/>
    </xf>
    <xf numFmtId="38" fontId="42" fillId="39" borderId="53" xfId="70" applyFont="1" applyFill="1" applyBorder="1" applyAlignment="1">
      <alignment vertical="center"/>
    </xf>
    <xf numFmtId="38" fontId="42" fillId="0" borderId="20" xfId="70" applyFont="1" applyFill="1" applyBorder="1" applyAlignment="1">
      <alignment vertical="center"/>
    </xf>
    <xf numFmtId="169" fontId="42" fillId="0" borderId="24" xfId="74" applyNumberFormat="1" applyFont="1" applyFill="1" applyBorder="1" applyAlignment="1">
      <alignment vertical="center"/>
    </xf>
    <xf numFmtId="38" fontId="43" fillId="0" borderId="47" xfId="70" applyFont="1" applyFill="1" applyBorder="1" applyAlignment="1">
      <alignment horizontal="right" vertical="center" shrinkToFit="1"/>
    </xf>
    <xf numFmtId="174" fontId="40" fillId="0" borderId="58" xfId="70" applyNumberFormat="1" applyFont="1" applyFill="1" applyBorder="1" applyAlignment="1">
      <alignment horizontal="right" vertical="center" indent="1" shrinkToFit="1"/>
    </xf>
    <xf numFmtId="38" fontId="44" fillId="0" borderId="58" xfId="70" applyFont="1" applyBorder="1" applyAlignment="1">
      <alignment horizontal="left" vertical="center" shrinkToFit="1"/>
    </xf>
    <xf numFmtId="38" fontId="43" fillId="0" borderId="29" xfId="70" applyFont="1" applyBorder="1" applyAlignment="1">
      <alignment horizontal="right" vertical="center" shrinkToFit="1"/>
    </xf>
    <xf numFmtId="9" fontId="44" fillId="0" borderId="65" xfId="74" applyFont="1" applyFill="1" applyBorder="1" applyAlignment="1">
      <alignment horizontal="left" vertical="center" shrinkToFit="1"/>
    </xf>
    <xf numFmtId="38" fontId="43" fillId="39" borderId="36" xfId="70" applyFont="1" applyFill="1" applyBorder="1" applyAlignment="1">
      <alignment vertical="center"/>
    </xf>
    <xf numFmtId="38" fontId="43" fillId="39" borderId="54" xfId="70" applyFont="1" applyFill="1" applyBorder="1" applyAlignment="1">
      <alignment vertical="center"/>
    </xf>
    <xf numFmtId="38" fontId="43" fillId="0" borderId="35" xfId="70" applyFont="1" applyFill="1" applyBorder="1" applyAlignment="1">
      <alignment vertical="center"/>
    </xf>
    <xf numFmtId="169" fontId="43" fillId="0" borderId="43" xfId="74" applyNumberFormat="1" applyFont="1" applyFill="1" applyBorder="1" applyAlignment="1">
      <alignment vertical="center"/>
    </xf>
    <xf numFmtId="174" fontId="40" fillId="0" borderId="66" xfId="70" applyNumberFormat="1" applyFont="1" applyFill="1" applyBorder="1" applyAlignment="1">
      <alignment horizontal="right" vertical="center" indent="1" shrinkToFit="1"/>
    </xf>
    <xf numFmtId="38" fontId="43" fillId="0" borderId="38" xfId="70" applyFont="1" applyFill="1" applyBorder="1" applyAlignment="1">
      <alignment horizontal="right" vertical="center" shrinkToFit="1"/>
    </xf>
    <xf numFmtId="38" fontId="44" fillId="0" borderId="66" xfId="70" applyFont="1" applyFill="1" applyBorder="1" applyAlignment="1">
      <alignment horizontal="left" vertical="center" shrinkToFit="1"/>
    </xf>
    <xf numFmtId="38" fontId="44" fillId="0" borderId="67" xfId="70" applyFont="1" applyBorder="1" applyAlignment="1">
      <alignment horizontal="left" vertical="center" shrinkToFit="1"/>
    </xf>
    <xf numFmtId="38" fontId="43" fillId="40" borderId="44" xfId="70" applyFont="1" applyFill="1" applyBorder="1" applyAlignment="1">
      <alignment vertical="center"/>
    </xf>
    <xf numFmtId="38" fontId="43" fillId="40" borderId="28" xfId="70" applyFont="1" applyFill="1" applyBorder="1" applyAlignment="1">
      <alignment vertical="center"/>
    </xf>
    <xf numFmtId="38" fontId="43" fillId="40" borderId="52" xfId="70" applyFont="1" applyFill="1" applyBorder="1" applyAlignment="1">
      <alignment vertical="center"/>
    </xf>
    <xf numFmtId="38" fontId="43" fillId="0" borderId="52" xfId="70" applyFont="1" applyFill="1" applyBorder="1" applyAlignment="1">
      <alignment horizontal="right" shrinkToFit="1"/>
    </xf>
    <xf numFmtId="169" fontId="44" fillId="0" borderId="57" xfId="71" applyNumberFormat="1" applyFont="1" applyFill="1" applyBorder="1" applyAlignment="1">
      <alignment horizontal="right" shrinkToFit="1"/>
    </xf>
    <xf numFmtId="38" fontId="44" fillId="0" borderId="28" xfId="70" applyFont="1" applyFill="1" applyBorder="1" applyAlignment="1">
      <alignment horizontal="left" vertical="center" shrinkToFit="1"/>
    </xf>
    <xf numFmtId="38" fontId="44" fillId="0" borderId="57" xfId="70" applyFont="1" applyBorder="1" applyAlignment="1">
      <alignment horizontal="left" vertical="center" shrinkToFit="1"/>
    </xf>
    <xf numFmtId="38" fontId="43" fillId="0" borderId="28" xfId="70" applyFont="1" applyBorder="1" applyAlignment="1">
      <alignment horizontal="right" vertical="center" shrinkToFit="1"/>
    </xf>
    <xf numFmtId="38" fontId="43" fillId="0" borderId="60" xfId="70" applyFont="1" applyBorder="1" applyAlignment="1">
      <alignment horizontal="left" vertical="center" shrinkToFit="1"/>
    </xf>
    <xf numFmtId="38" fontId="43" fillId="40" borderId="37" xfId="70" applyFont="1" applyFill="1" applyBorder="1" applyAlignment="1">
      <alignment vertical="center"/>
    </xf>
    <xf numFmtId="38" fontId="43" fillId="40" borderId="29" xfId="70" applyFont="1" applyFill="1" applyBorder="1" applyAlignment="1">
      <alignment vertical="center"/>
    </xf>
    <xf numFmtId="38" fontId="43" fillId="40" borderId="53" xfId="70" applyFont="1" applyFill="1" applyBorder="1" applyAlignment="1">
      <alignment vertical="center"/>
    </xf>
    <xf numFmtId="38" fontId="40" fillId="0" borderId="29" xfId="70" applyFont="1" applyFill="1" applyBorder="1" applyAlignment="1">
      <alignment horizontal="right" vertical="center" shrinkToFit="1"/>
    </xf>
    <xf numFmtId="169" fontId="44" fillId="0" borderId="58" xfId="71" applyNumberFormat="1" applyFont="1" applyBorder="1" applyAlignment="1">
      <alignment horizontal="left" vertical="center" shrinkToFit="1"/>
    </xf>
    <xf numFmtId="38" fontId="43" fillId="0" borderId="65" xfId="70" applyFont="1" applyBorder="1" applyAlignment="1">
      <alignment horizontal="left" vertical="center" shrinkToFit="1"/>
    </xf>
    <xf numFmtId="38" fontId="43" fillId="40" borderId="41" xfId="70" applyFont="1" applyFill="1" applyBorder="1" applyAlignment="1">
      <alignment vertical="center"/>
    </xf>
    <xf numFmtId="171" fontId="44" fillId="0" borderId="58" xfId="59" applyNumberFormat="1" applyFont="1" applyFill="1" applyBorder="1" applyAlignment="1">
      <alignment horizontal="right" vertical="center" shrinkToFit="1"/>
    </xf>
    <xf numFmtId="38" fontId="42" fillId="40" borderId="29" xfId="70" applyFont="1" applyFill="1" applyBorder="1" applyAlignment="1">
      <alignment vertical="center"/>
    </xf>
    <xf numFmtId="38" fontId="42" fillId="40" borderId="53" xfId="70" applyFont="1" applyFill="1" applyBorder="1" applyAlignment="1">
      <alignment vertical="center"/>
    </xf>
    <xf numFmtId="10" fontId="40" fillId="0" borderId="58" xfId="74" applyNumberFormat="1" applyFont="1" applyFill="1" applyBorder="1" applyAlignment="1">
      <alignment horizontal="right" vertical="center" indent="1" shrinkToFit="1"/>
    </xf>
    <xf numFmtId="38" fontId="43" fillId="40" borderId="39" xfId="70" applyFont="1" applyFill="1" applyBorder="1" applyAlignment="1">
      <alignment vertical="center"/>
    </xf>
    <xf numFmtId="38" fontId="43" fillId="40" borderId="30" xfId="70" applyFont="1" applyFill="1" applyBorder="1" applyAlignment="1">
      <alignment vertical="center"/>
    </xf>
    <xf numFmtId="38" fontId="43" fillId="40" borderId="55" xfId="70" applyFont="1" applyFill="1" applyBorder="1" applyAlignment="1">
      <alignment vertical="center"/>
    </xf>
    <xf numFmtId="38" fontId="43" fillId="0" borderId="25" xfId="70" applyFont="1" applyFill="1" applyBorder="1" applyAlignment="1">
      <alignment vertical="center"/>
    </xf>
    <xf numFmtId="169" fontId="43" fillId="0" borderId="42" xfId="74" applyNumberFormat="1" applyFont="1" applyFill="1" applyBorder="1" applyAlignment="1">
      <alignment vertical="center"/>
    </xf>
    <xf numFmtId="38" fontId="43" fillId="0" borderId="32" xfId="70" applyFont="1" applyFill="1" applyBorder="1" applyAlignment="1">
      <alignment horizontal="right" vertical="center" shrinkToFit="1"/>
    </xf>
    <xf numFmtId="174" fontId="40" fillId="0" borderId="45" xfId="70" applyNumberFormat="1" applyFont="1" applyFill="1" applyBorder="1" applyAlignment="1">
      <alignment horizontal="right" vertical="center" indent="1" shrinkToFit="1"/>
    </xf>
    <xf numFmtId="38" fontId="43" fillId="0" borderId="40" xfId="70" applyFont="1" applyFill="1" applyBorder="1" applyAlignment="1">
      <alignment horizontal="right" vertical="center" shrinkToFit="1"/>
    </xf>
    <xf numFmtId="38" fontId="44" fillId="0" borderId="45" xfId="70" applyFont="1" applyFill="1" applyBorder="1" applyAlignment="1">
      <alignment horizontal="left" vertical="center" shrinkToFit="1"/>
    </xf>
    <xf numFmtId="38" fontId="44" fillId="0" borderId="61" xfId="70" applyFont="1" applyBorder="1" applyAlignment="1">
      <alignment horizontal="left" vertical="center" shrinkToFit="1"/>
    </xf>
    <xf numFmtId="0" fontId="47" fillId="0" borderId="0" xfId="65" applyFont="1" applyAlignment="1">
      <alignment horizontal="center"/>
    </xf>
    <xf numFmtId="0" fontId="47" fillId="0" borderId="0" xfId="65" applyFont="1"/>
    <xf numFmtId="38" fontId="43" fillId="34" borderId="44" xfId="70" applyFont="1" applyFill="1" applyBorder="1" applyAlignment="1">
      <alignment vertical="center"/>
    </xf>
    <xf numFmtId="38" fontId="43" fillId="34" borderId="28" xfId="70" applyFont="1" applyFill="1" applyBorder="1" applyAlignment="1">
      <alignment vertical="center"/>
    </xf>
    <xf numFmtId="38" fontId="43" fillId="34" borderId="52" xfId="70" applyFont="1" applyFill="1" applyBorder="1" applyAlignment="1">
      <alignment vertical="center"/>
    </xf>
    <xf numFmtId="38" fontId="43" fillId="0" borderId="28" xfId="70" applyFont="1" applyFill="1" applyBorder="1" applyAlignment="1">
      <alignment horizontal="left" vertical="center"/>
    </xf>
    <xf numFmtId="38" fontId="43" fillId="0" borderId="57" xfId="70" applyFont="1" applyBorder="1" applyAlignment="1">
      <alignment horizontal="left" vertical="center" shrinkToFit="1"/>
    </xf>
    <xf numFmtId="38" fontId="46" fillId="0" borderId="28" xfId="70" applyFont="1" applyFill="1" applyBorder="1" applyAlignment="1">
      <alignment horizontal="right" vertical="center" shrinkToFit="1"/>
    </xf>
    <xf numFmtId="38" fontId="44" fillId="0" borderId="60" xfId="70" applyFont="1" applyBorder="1" applyAlignment="1">
      <alignment horizontal="left" vertical="center" shrinkToFit="1"/>
    </xf>
    <xf numFmtId="38" fontId="43" fillId="0" borderId="0" xfId="70" applyFont="1" applyFill="1" applyBorder="1" applyAlignment="1">
      <alignment vertical="center"/>
    </xf>
    <xf numFmtId="171" fontId="43" fillId="0" borderId="0" xfId="69" applyNumberFormat="1" applyFont="1" applyFill="1"/>
    <xf numFmtId="0" fontId="43" fillId="0" borderId="0" xfId="65" applyFont="1" applyFill="1"/>
    <xf numFmtId="38" fontId="43" fillId="0" borderId="0" xfId="59" applyNumberFormat="1" applyFont="1" applyFill="1" applyAlignment="1"/>
    <xf numFmtId="38" fontId="43" fillId="34" borderId="37" xfId="70" applyFont="1" applyFill="1" applyBorder="1" applyAlignment="1">
      <alignment vertical="center"/>
    </xf>
    <xf numFmtId="38" fontId="43" fillId="34" borderId="29" xfId="70" applyFont="1" applyFill="1" applyBorder="1" applyAlignment="1">
      <alignment vertical="center"/>
    </xf>
    <xf numFmtId="38" fontId="43" fillId="34" borderId="53" xfId="70" applyFont="1" applyFill="1" applyBorder="1" applyAlignment="1">
      <alignment vertical="center"/>
    </xf>
    <xf numFmtId="38" fontId="48" fillId="0" borderId="58" xfId="70" applyFont="1" applyFill="1" applyBorder="1" applyAlignment="1">
      <alignment horizontal="right" vertical="center" indent="1" shrinkToFit="1"/>
    </xf>
    <xf numFmtId="169" fontId="43" fillId="0" borderId="29" xfId="74" applyNumberFormat="1" applyFont="1" applyFill="1" applyBorder="1" applyAlignment="1">
      <alignment horizontal="right" vertical="center" shrinkToFit="1"/>
    </xf>
    <xf numFmtId="38" fontId="43" fillId="0" borderId="58" xfId="70" applyFont="1" applyBorder="1" applyAlignment="1">
      <alignment horizontal="left" vertical="center" shrinkToFit="1"/>
    </xf>
    <xf numFmtId="9" fontId="43" fillId="0" borderId="0" xfId="65" applyNumberFormat="1" applyFont="1" applyFill="1"/>
    <xf numFmtId="169" fontId="43" fillId="0" borderId="36" xfId="74" applyNumberFormat="1" applyFont="1" applyFill="1" applyBorder="1" applyAlignment="1">
      <alignment horizontal="right" vertical="center" shrinkToFit="1"/>
    </xf>
    <xf numFmtId="38" fontId="43" fillId="0" borderId="68" xfId="70" applyFont="1" applyBorder="1" applyAlignment="1">
      <alignment horizontal="left" vertical="center" shrinkToFit="1"/>
    </xf>
    <xf numFmtId="38" fontId="43" fillId="0" borderId="36" xfId="70" applyFont="1" applyBorder="1" applyAlignment="1">
      <alignment horizontal="right" vertical="center" shrinkToFit="1"/>
    </xf>
    <xf numFmtId="38" fontId="43" fillId="0" borderId="67" xfId="70" applyFont="1" applyBorder="1" applyAlignment="1">
      <alignment horizontal="left" vertical="center" shrinkToFit="1"/>
    </xf>
    <xf numFmtId="169" fontId="44" fillId="0" borderId="58" xfId="71" applyNumberFormat="1" applyFont="1" applyBorder="1" applyAlignment="1">
      <alignment horizontal="right" vertical="center" shrinkToFit="1"/>
    </xf>
    <xf numFmtId="38" fontId="42" fillId="34" borderId="29" xfId="70" applyFont="1" applyFill="1" applyBorder="1" applyAlignment="1">
      <alignment vertical="center"/>
    </xf>
    <xf numFmtId="38" fontId="42" fillId="34" borderId="53" xfId="70" applyFont="1" applyFill="1" applyBorder="1" applyAlignment="1">
      <alignment vertical="center"/>
    </xf>
    <xf numFmtId="169" fontId="48" fillId="0" borderId="58" xfId="71" applyNumberFormat="1" applyFont="1" applyFill="1" applyBorder="1" applyAlignment="1">
      <alignment horizontal="right" vertical="center" shrinkToFit="1"/>
    </xf>
    <xf numFmtId="38" fontId="43" fillId="0" borderId="0" xfId="59" applyNumberFormat="1" applyFont="1" applyAlignment="1"/>
    <xf numFmtId="38" fontId="43" fillId="34" borderId="39" xfId="70" applyFont="1" applyFill="1" applyBorder="1" applyAlignment="1">
      <alignment vertical="center"/>
    </xf>
    <xf numFmtId="38" fontId="43" fillId="34" borderId="30" xfId="70" applyFont="1" applyFill="1" applyBorder="1" applyAlignment="1">
      <alignment vertical="center"/>
    </xf>
    <xf numFmtId="38" fontId="43" fillId="34" borderId="55" xfId="70" applyFont="1" applyFill="1" applyBorder="1" applyAlignment="1">
      <alignment vertical="center"/>
    </xf>
    <xf numFmtId="38" fontId="43" fillId="0" borderId="25" xfId="70" applyFont="1" applyBorder="1" applyAlignment="1">
      <alignment vertical="center"/>
    </xf>
    <xf numFmtId="38" fontId="43" fillId="0" borderId="55" xfId="70" applyFont="1" applyBorder="1" applyAlignment="1">
      <alignment horizontal="right" vertical="center" shrinkToFit="1"/>
    </xf>
    <xf numFmtId="169" fontId="49" fillId="0" borderId="58" xfId="71" applyNumberFormat="1" applyFont="1" applyBorder="1" applyAlignment="1">
      <alignment horizontal="right" vertical="center" shrinkToFit="1"/>
    </xf>
    <xf numFmtId="169" fontId="43" fillId="0" borderId="30" xfId="74" applyNumberFormat="1" applyFont="1" applyBorder="1" applyAlignment="1">
      <alignment horizontal="right" vertical="center" shrinkToFit="1"/>
    </xf>
    <xf numFmtId="38" fontId="43" fillId="0" borderId="59" xfId="70" applyFont="1" applyBorder="1" applyAlignment="1">
      <alignment horizontal="left" vertical="center" shrinkToFit="1"/>
    </xf>
    <xf numFmtId="38" fontId="43" fillId="0" borderId="30" xfId="70" applyFont="1" applyBorder="1" applyAlignment="1">
      <alignment horizontal="right" vertical="center" shrinkToFit="1"/>
    </xf>
    <xf numFmtId="38" fontId="43" fillId="0" borderId="61" xfId="70" applyFont="1" applyBorder="1" applyAlignment="1">
      <alignment horizontal="left" vertical="center" shrinkToFit="1"/>
    </xf>
    <xf numFmtId="38" fontId="43" fillId="36" borderId="37" xfId="70" applyFont="1" applyFill="1" applyBorder="1" applyAlignment="1">
      <alignment vertical="center"/>
    </xf>
    <xf numFmtId="38" fontId="43" fillId="36" borderId="38" xfId="70" applyFont="1" applyFill="1" applyBorder="1" applyAlignment="1">
      <alignment vertical="center"/>
    </xf>
    <xf numFmtId="38" fontId="43" fillId="36" borderId="0" xfId="70" applyFont="1" applyFill="1" applyBorder="1" applyAlignment="1">
      <alignment vertical="center"/>
    </xf>
    <xf numFmtId="38" fontId="42" fillId="0" borderId="23" xfId="70" applyFont="1" applyBorder="1" applyAlignment="1">
      <alignment vertical="center"/>
    </xf>
    <xf numFmtId="38" fontId="43" fillId="0" borderId="0" xfId="70" applyFont="1" applyBorder="1" applyAlignment="1">
      <alignment horizontal="right" vertical="center" shrinkToFit="1"/>
    </xf>
    <xf numFmtId="38" fontId="44" fillId="0" borderId="69" xfId="70" applyFont="1" applyFill="1" applyBorder="1" applyAlignment="1">
      <alignment horizontal="right" vertical="center"/>
    </xf>
    <xf numFmtId="38" fontId="43" fillId="0" borderId="38" xfId="70" applyFont="1" applyBorder="1" applyAlignment="1">
      <alignment horizontal="left" vertical="center" shrinkToFit="1"/>
    </xf>
    <xf numFmtId="38" fontId="43" fillId="0" borderId="66" xfId="70" applyFont="1" applyBorder="1" applyAlignment="1">
      <alignment horizontal="left" vertical="center" shrinkToFit="1"/>
    </xf>
    <xf numFmtId="38" fontId="43" fillId="0" borderId="38" xfId="70" applyFont="1" applyBorder="1" applyAlignment="1">
      <alignment horizontal="right" vertical="center" shrinkToFit="1"/>
    </xf>
    <xf numFmtId="38" fontId="43" fillId="0" borderId="51" xfId="70" applyFont="1" applyBorder="1" applyAlignment="1">
      <alignment horizontal="left" vertical="center" shrinkToFit="1"/>
    </xf>
    <xf numFmtId="38" fontId="43" fillId="36" borderId="39" xfId="70" applyFont="1" applyFill="1" applyBorder="1" applyAlignment="1">
      <alignment vertical="center"/>
    </xf>
    <xf numFmtId="38" fontId="43" fillId="36" borderId="30" xfId="70" applyFont="1" applyFill="1" applyBorder="1" applyAlignment="1">
      <alignment vertical="center"/>
    </xf>
    <xf numFmtId="38" fontId="43" fillId="36" borderId="55" xfId="70" applyFont="1" applyFill="1" applyBorder="1" applyAlignment="1">
      <alignment vertical="center"/>
    </xf>
    <xf numFmtId="0" fontId="43" fillId="38" borderId="11" xfId="65" applyFont="1" applyFill="1" applyBorder="1"/>
    <xf numFmtId="0" fontId="42" fillId="38" borderId="15" xfId="65" applyFont="1" applyFill="1" applyBorder="1"/>
    <xf numFmtId="38" fontId="42" fillId="38" borderId="15" xfId="65" applyNumberFormat="1" applyFont="1" applyFill="1" applyBorder="1"/>
    <xf numFmtId="169" fontId="42" fillId="38" borderId="15" xfId="67" applyNumberFormat="1" applyFont="1" applyFill="1" applyBorder="1"/>
    <xf numFmtId="0" fontId="43" fillId="38" borderId="15" xfId="65" applyFont="1" applyFill="1" applyBorder="1"/>
    <xf numFmtId="0" fontId="40" fillId="38" borderId="15" xfId="65" applyFont="1" applyFill="1" applyBorder="1" applyAlignment="1">
      <alignment horizontal="right" indent="1"/>
    </xf>
    <xf numFmtId="0" fontId="43" fillId="38" borderId="16" xfId="65" applyFont="1" applyFill="1" applyBorder="1"/>
    <xf numFmtId="0" fontId="42" fillId="0" borderId="11" xfId="65" applyFont="1" applyBorder="1"/>
    <xf numFmtId="1" fontId="41" fillId="0" borderId="15" xfId="76" applyNumberFormat="1" applyFont="1" applyBorder="1" applyAlignment="1">
      <alignment horizontal="left"/>
    </xf>
    <xf numFmtId="0" fontId="42" fillId="0" borderId="15" xfId="65" applyFont="1" applyBorder="1" applyAlignment="1">
      <alignment horizontal="center"/>
    </xf>
    <xf numFmtId="0" fontId="41" fillId="0" borderId="16" xfId="65" applyFont="1" applyBorder="1" applyAlignment="1">
      <alignment horizontal="right" indent="1"/>
    </xf>
    <xf numFmtId="0" fontId="42" fillId="39" borderId="33" xfId="65" applyFont="1" applyFill="1" applyBorder="1"/>
    <xf numFmtId="0" fontId="43" fillId="39" borderId="31" xfId="65" applyFont="1" applyFill="1" applyBorder="1"/>
    <xf numFmtId="38" fontId="43" fillId="39" borderId="31" xfId="65" applyNumberFormat="1" applyFont="1" applyFill="1" applyBorder="1"/>
    <xf numFmtId="169" fontId="43" fillId="39" borderId="31" xfId="67" applyNumberFormat="1" applyFont="1" applyFill="1" applyBorder="1"/>
    <xf numFmtId="0" fontId="40" fillId="39" borderId="50" xfId="65" applyFont="1" applyFill="1" applyBorder="1" applyAlignment="1">
      <alignment horizontal="right" indent="1"/>
    </xf>
    <xf numFmtId="0" fontId="43" fillId="39" borderId="41" xfId="65" applyFont="1" applyFill="1" applyBorder="1"/>
    <xf numFmtId="0" fontId="43" fillId="39" borderId="0" xfId="65" applyFont="1" applyFill="1"/>
    <xf numFmtId="38" fontId="43" fillId="39" borderId="0" xfId="65" applyNumberFormat="1" applyFont="1" applyFill="1"/>
    <xf numFmtId="169" fontId="43" fillId="39" borderId="0" xfId="67" applyNumberFormat="1" applyFont="1" applyFill="1" applyBorder="1"/>
    <xf numFmtId="171" fontId="43" fillId="39" borderId="0" xfId="65" applyNumberFormat="1" applyFont="1" applyFill="1"/>
    <xf numFmtId="171" fontId="40" fillId="39" borderId="51" xfId="65" applyNumberFormat="1" applyFont="1" applyFill="1" applyBorder="1" applyAlignment="1">
      <alignment horizontal="right" indent="1"/>
    </xf>
    <xf numFmtId="1" fontId="41" fillId="39" borderId="62" xfId="76" applyNumberFormat="1" applyFont="1" applyFill="1" applyBorder="1" applyAlignment="1">
      <alignment horizontal="left"/>
    </xf>
    <xf numFmtId="0" fontId="43" fillId="39" borderId="63" xfId="65" applyFont="1" applyFill="1" applyBorder="1"/>
    <xf numFmtId="38" fontId="42" fillId="39" borderId="63" xfId="65" applyNumberFormat="1" applyFont="1" applyFill="1" applyBorder="1"/>
    <xf numFmtId="169" fontId="42" fillId="39" borderId="63" xfId="67" applyNumberFormat="1" applyFont="1" applyFill="1" applyBorder="1"/>
    <xf numFmtId="171" fontId="42" fillId="39" borderId="63" xfId="65" applyNumberFormat="1" applyFont="1" applyFill="1" applyBorder="1"/>
    <xf numFmtId="171" fontId="41" fillId="39" borderId="64" xfId="65" applyNumberFormat="1" applyFont="1" applyFill="1" applyBorder="1" applyAlignment="1">
      <alignment horizontal="right" indent="1"/>
    </xf>
    <xf numFmtId="0" fontId="42" fillId="40" borderId="48" xfId="65" applyFont="1" applyFill="1" applyBorder="1"/>
    <xf numFmtId="0" fontId="43" fillId="40" borderId="54" xfId="65" applyFont="1" applyFill="1" applyBorder="1"/>
    <xf numFmtId="38" fontId="43" fillId="40" borderId="54" xfId="65" applyNumberFormat="1" applyFont="1" applyFill="1" applyBorder="1"/>
    <xf numFmtId="169" fontId="43" fillId="40" borderId="54" xfId="67" applyNumberFormat="1" applyFont="1" applyFill="1" applyBorder="1"/>
    <xf numFmtId="0" fontId="40" fillId="40" borderId="67" xfId="65" applyFont="1" applyFill="1" applyBorder="1" applyAlignment="1">
      <alignment horizontal="right" indent="1"/>
    </xf>
    <xf numFmtId="0" fontId="43" fillId="40" borderId="41" xfId="65" applyFont="1" applyFill="1" applyBorder="1"/>
    <xf numFmtId="0" fontId="43" fillId="40" borderId="0" xfId="65" applyFont="1" applyFill="1"/>
    <xf numFmtId="38" fontId="43" fillId="40" borderId="0" xfId="65" applyNumberFormat="1" applyFont="1" applyFill="1"/>
    <xf numFmtId="169" fontId="43" fillId="40" borderId="0" xfId="67" applyNumberFormat="1" applyFont="1" applyFill="1" applyBorder="1"/>
    <xf numFmtId="171" fontId="43" fillId="40" borderId="0" xfId="65" applyNumberFormat="1" applyFont="1" applyFill="1"/>
    <xf numFmtId="171" fontId="40" fillId="40" borderId="51" xfId="65" applyNumberFormat="1" applyFont="1" applyFill="1" applyBorder="1" applyAlignment="1">
      <alignment horizontal="right" indent="1"/>
    </xf>
    <xf numFmtId="1" fontId="41" fillId="40" borderId="62" xfId="76" applyNumberFormat="1" applyFont="1" applyFill="1" applyBorder="1" applyAlignment="1">
      <alignment horizontal="left"/>
    </xf>
    <xf numFmtId="0" fontId="43" fillId="40" borderId="63" xfId="65" applyFont="1" applyFill="1" applyBorder="1"/>
    <xf numFmtId="38" fontId="42" fillId="40" borderId="63" xfId="65" applyNumberFormat="1" applyFont="1" applyFill="1" applyBorder="1"/>
    <xf numFmtId="169" fontId="42" fillId="40" borderId="63" xfId="67" applyNumberFormat="1" applyFont="1" applyFill="1" applyBorder="1"/>
    <xf numFmtId="171" fontId="42" fillId="40" borderId="63" xfId="65" applyNumberFormat="1" applyFont="1" applyFill="1" applyBorder="1"/>
    <xf numFmtId="171" fontId="41" fillId="40" borderId="64" xfId="65" applyNumberFormat="1" applyFont="1" applyFill="1" applyBorder="1" applyAlignment="1">
      <alignment horizontal="right" indent="1"/>
    </xf>
    <xf numFmtId="0" fontId="42" fillId="34" borderId="48" xfId="65" applyFont="1" applyFill="1" applyBorder="1"/>
    <xf numFmtId="0" fontId="43" fillId="34" borderId="54" xfId="65" applyFont="1" applyFill="1" applyBorder="1"/>
    <xf numFmtId="38" fontId="43" fillId="34" borderId="54" xfId="65" applyNumberFormat="1" applyFont="1" applyFill="1" applyBorder="1"/>
    <xf numFmtId="169" fontId="43" fillId="34" borderId="54" xfId="67" applyNumberFormat="1" applyFont="1" applyFill="1" applyBorder="1"/>
    <xf numFmtId="0" fontId="40" fillId="34" borderId="67" xfId="65" applyFont="1" applyFill="1" applyBorder="1" applyAlignment="1">
      <alignment horizontal="right" indent="1"/>
    </xf>
    <xf numFmtId="0" fontId="43" fillId="34" borderId="41" xfId="65" applyFont="1" applyFill="1" applyBorder="1"/>
    <xf numFmtId="0" fontId="43" fillId="34" borderId="0" xfId="65" applyFont="1" applyFill="1"/>
    <xf numFmtId="38" fontId="43" fillId="34" borderId="0" xfId="65" applyNumberFormat="1" applyFont="1" applyFill="1"/>
    <xf numFmtId="169" fontId="43" fillId="34" borderId="0" xfId="67" applyNumberFormat="1" applyFont="1" applyFill="1" applyBorder="1"/>
    <xf numFmtId="171" fontId="43" fillId="34" borderId="0" xfId="65" applyNumberFormat="1" applyFont="1" applyFill="1"/>
    <xf numFmtId="171" fontId="40" fillId="34" borderId="51" xfId="65" applyNumberFormat="1" applyFont="1" applyFill="1" applyBorder="1" applyAlignment="1">
      <alignment horizontal="right" indent="1"/>
    </xf>
    <xf numFmtId="1" fontId="41" fillId="34" borderId="62" xfId="76" applyNumberFormat="1" applyFont="1" applyFill="1" applyBorder="1" applyAlignment="1">
      <alignment horizontal="left"/>
    </xf>
    <xf numFmtId="0" fontId="43" fillId="34" borderId="63" xfId="65" applyFont="1" applyFill="1" applyBorder="1"/>
    <xf numFmtId="38" fontId="42" fillId="34" borderId="63" xfId="65" applyNumberFormat="1" applyFont="1" applyFill="1" applyBorder="1"/>
    <xf numFmtId="169" fontId="42" fillId="34" borderId="63" xfId="67" applyNumberFormat="1" applyFont="1" applyFill="1" applyBorder="1"/>
    <xf numFmtId="171" fontId="42" fillId="34" borderId="63" xfId="65" applyNumberFormat="1" applyFont="1" applyFill="1" applyBorder="1"/>
    <xf numFmtId="171" fontId="41" fillId="34" borderId="64" xfId="65" applyNumberFormat="1" applyFont="1" applyFill="1" applyBorder="1" applyAlignment="1">
      <alignment horizontal="right" indent="1"/>
    </xf>
    <xf numFmtId="0" fontId="42" fillId="36" borderId="47" xfId="65" applyFont="1" applyFill="1" applyBorder="1"/>
    <xf numFmtId="0" fontId="43" fillId="36" borderId="53" xfId="65" applyFont="1" applyFill="1" applyBorder="1"/>
    <xf numFmtId="38" fontId="42" fillId="36" borderId="53" xfId="65" applyNumberFormat="1" applyFont="1" applyFill="1" applyBorder="1"/>
    <xf numFmtId="169" fontId="42" fillId="36" borderId="53" xfId="67" applyNumberFormat="1" applyFont="1" applyFill="1" applyBorder="1"/>
    <xf numFmtId="171" fontId="42" fillId="36" borderId="53" xfId="65" applyNumberFormat="1" applyFont="1" applyFill="1" applyBorder="1"/>
    <xf numFmtId="171" fontId="41" fillId="36" borderId="65" xfId="65" applyNumberFormat="1" applyFont="1" applyFill="1" applyBorder="1" applyAlignment="1">
      <alignment horizontal="right" indent="1"/>
    </xf>
    <xf numFmtId="0" fontId="42" fillId="38" borderId="11" xfId="65" applyFont="1" applyFill="1" applyBorder="1"/>
    <xf numFmtId="38" fontId="42" fillId="38" borderId="16" xfId="65" applyNumberFormat="1" applyFont="1" applyFill="1" applyBorder="1"/>
    <xf numFmtId="0" fontId="43" fillId="0" borderId="0" xfId="65" applyFont="1" applyAlignment="1">
      <alignment horizontal="center"/>
    </xf>
    <xf numFmtId="0" fontId="42" fillId="0" borderId="33" xfId="65" applyFont="1" applyBorder="1"/>
    <xf numFmtId="0" fontId="43" fillId="0" borderId="50" xfId="65" applyFont="1" applyBorder="1"/>
    <xf numFmtId="38" fontId="43" fillId="0" borderId="51" xfId="65" applyNumberFormat="1" applyFont="1" applyBorder="1"/>
    <xf numFmtId="38" fontId="42" fillId="0" borderId="49" xfId="65" applyNumberFormat="1" applyFont="1" applyBorder="1"/>
    <xf numFmtId="0" fontId="42" fillId="37" borderId="33" xfId="65" applyFont="1" applyFill="1" applyBorder="1"/>
    <xf numFmtId="0" fontId="43" fillId="37" borderId="50" xfId="65" applyFont="1" applyFill="1" applyBorder="1"/>
    <xf numFmtId="171" fontId="42" fillId="37" borderId="15" xfId="69" applyNumberFormat="1" applyFont="1" applyFill="1" applyBorder="1" applyAlignment="1">
      <alignment horizontal="center" vertical="top"/>
    </xf>
    <xf numFmtId="171" fontId="42" fillId="37" borderId="16" xfId="69" applyNumberFormat="1" applyFont="1" applyFill="1" applyBorder="1" applyAlignment="1">
      <alignment horizontal="center" vertical="top"/>
    </xf>
    <xf numFmtId="171" fontId="42" fillId="37" borderId="11" xfId="69" applyNumberFormat="1" applyFont="1" applyFill="1" applyBorder="1" applyAlignment="1">
      <alignment horizontal="center" vertical="top"/>
    </xf>
    <xf numFmtId="0" fontId="43" fillId="37" borderId="34" xfId="65" applyFont="1" applyFill="1" applyBorder="1"/>
    <xf numFmtId="0" fontId="43" fillId="37" borderId="49" xfId="65" applyFont="1" applyFill="1" applyBorder="1"/>
    <xf numFmtId="171" fontId="43" fillId="37" borderId="16" xfId="69" applyNumberFormat="1" applyFont="1" applyFill="1" applyBorder="1" applyAlignment="1">
      <alignment horizontal="center" vertical="top"/>
    </xf>
    <xf numFmtId="171" fontId="43" fillId="37" borderId="10" xfId="69" applyNumberFormat="1" applyFont="1" applyFill="1" applyBorder="1" applyAlignment="1">
      <alignment horizontal="center" vertical="top"/>
    </xf>
    <xf numFmtId="38" fontId="43" fillId="0" borderId="31" xfId="65" applyNumberFormat="1" applyFont="1" applyBorder="1"/>
    <xf numFmtId="38" fontId="43" fillId="0" borderId="50" xfId="65" applyNumberFormat="1" applyFont="1" applyBorder="1"/>
    <xf numFmtId="0" fontId="42" fillId="0" borderId="41" xfId="65" applyFont="1" applyBorder="1"/>
    <xf numFmtId="0" fontId="42" fillId="0" borderId="51" xfId="65" applyFont="1" applyBorder="1"/>
    <xf numFmtId="171" fontId="42" fillId="0" borderId="0" xfId="65" applyNumberFormat="1" applyFont="1"/>
    <xf numFmtId="171" fontId="42" fillId="0" borderId="51" xfId="65" applyNumberFormat="1" applyFont="1" applyBorder="1"/>
    <xf numFmtId="0" fontId="42" fillId="0" borderId="34" xfId="65" applyFont="1" applyBorder="1"/>
    <xf numFmtId="0" fontId="42" fillId="0" borderId="49" xfId="65" applyFont="1" applyBorder="1"/>
    <xf numFmtId="171" fontId="42" fillId="0" borderId="32" xfId="65" applyNumberFormat="1" applyFont="1" applyBorder="1"/>
    <xf numFmtId="0" fontId="42" fillId="0" borderId="32" xfId="65" applyFont="1" applyBorder="1"/>
    <xf numFmtId="0" fontId="41" fillId="0" borderId="32" xfId="65" applyFont="1" applyBorder="1" applyAlignment="1">
      <alignment horizontal="right" indent="1"/>
    </xf>
    <xf numFmtId="171" fontId="42" fillId="0" borderId="49" xfId="65" applyNumberFormat="1" applyFont="1" applyBorder="1"/>
    <xf numFmtId="168" fontId="40" fillId="0" borderId="10" xfId="69" applyFont="1" applyFill="1" applyBorder="1"/>
    <xf numFmtId="0" fontId="42" fillId="37" borderId="10" xfId="0" applyFont="1" applyFill="1" applyBorder="1" applyAlignment="1"/>
    <xf numFmtId="0" fontId="43" fillId="0" borderId="0" xfId="0" applyFont="1" applyAlignment="1"/>
    <xf numFmtId="169" fontId="43" fillId="0" borderId="0" xfId="0" applyNumberFormat="1" applyFont="1" applyAlignment="1"/>
    <xf numFmtId="0" fontId="42" fillId="0" borderId="0" xfId="0" applyFont="1" applyAlignment="1"/>
    <xf numFmtId="0" fontId="43" fillId="0" borderId="33" xfId="0" applyFont="1" applyBorder="1" applyAlignment="1"/>
    <xf numFmtId="0" fontId="43" fillId="0" borderId="31" xfId="0" applyFont="1" applyBorder="1" applyAlignment="1"/>
    <xf numFmtId="169" fontId="43" fillId="0" borderId="31" xfId="0" applyNumberFormat="1" applyFont="1" applyBorder="1" applyAlignment="1"/>
    <xf numFmtId="169" fontId="43" fillId="0" borderId="50" xfId="0" applyNumberFormat="1" applyFont="1" applyBorder="1" applyAlignment="1"/>
    <xf numFmtId="0" fontId="43" fillId="0" borderId="41" xfId="0" applyFont="1" applyBorder="1" applyAlignment="1"/>
    <xf numFmtId="38" fontId="48" fillId="0" borderId="0" xfId="59" applyNumberFormat="1" applyFont="1" applyFill="1" applyBorder="1" applyAlignment="1"/>
    <xf numFmtId="38" fontId="48" fillId="0" borderId="51" xfId="59" applyNumberFormat="1" applyFont="1" applyFill="1" applyBorder="1" applyAlignment="1"/>
    <xf numFmtId="0" fontId="43" fillId="0" borderId="41" xfId="0" applyFont="1" applyBorder="1" applyAlignment="1">
      <alignment horizontal="left"/>
    </xf>
    <xf numFmtId="38" fontId="43" fillId="0" borderId="0" xfId="59" applyNumberFormat="1" applyFont="1" applyFill="1" applyBorder="1" applyAlignment="1"/>
    <xf numFmtId="38" fontId="43" fillId="0" borderId="51" xfId="59" applyNumberFormat="1" applyFont="1" applyFill="1" applyBorder="1" applyAlignment="1"/>
    <xf numFmtId="38" fontId="43" fillId="0" borderId="0" xfId="59" applyNumberFormat="1" applyFont="1" applyBorder="1" applyAlignment="1"/>
    <xf numFmtId="38" fontId="43" fillId="0" borderId="51" xfId="59" applyNumberFormat="1" applyFont="1" applyBorder="1" applyAlignment="1"/>
    <xf numFmtId="9" fontId="48" fillId="0" borderId="0" xfId="0" applyNumberFormat="1" applyFont="1" applyAlignment="1"/>
    <xf numFmtId="0" fontId="43" fillId="0" borderId="51" xfId="0" applyFont="1" applyBorder="1" applyAlignment="1"/>
    <xf numFmtId="0" fontId="43" fillId="0" borderId="34" xfId="0" applyFont="1" applyBorder="1" applyAlignment="1"/>
    <xf numFmtId="0" fontId="43" fillId="0" borderId="32" xfId="0" applyFont="1" applyBorder="1" applyAlignment="1"/>
    <xf numFmtId="38" fontId="43" fillId="0" borderId="32" xfId="59" applyNumberFormat="1" applyFont="1" applyBorder="1" applyAlignment="1"/>
    <xf numFmtId="38" fontId="43" fillId="0" borderId="49" xfId="59" applyNumberFormat="1" applyFont="1" applyFill="1" applyBorder="1" applyAlignment="1"/>
    <xf numFmtId="0" fontId="42" fillId="0" borderId="31" xfId="65" applyFont="1" applyBorder="1"/>
    <xf numFmtId="171" fontId="48" fillId="0" borderId="31" xfId="69" applyNumberFormat="1" applyFont="1" applyBorder="1"/>
    <xf numFmtId="0" fontId="50" fillId="0" borderId="0" xfId="65" applyFont="1" applyAlignment="1">
      <alignment horizontal="center"/>
    </xf>
    <xf numFmtId="171" fontId="50" fillId="0" borderId="0" xfId="69" applyNumberFormat="1" applyFont="1" applyBorder="1" applyAlignment="1">
      <alignment horizontal="center"/>
    </xf>
    <xf numFmtId="170" fontId="43" fillId="0" borderId="0" xfId="65" applyNumberFormat="1" applyFont="1"/>
    <xf numFmtId="174" fontId="48" fillId="0" borderId="0" xfId="59" applyNumberFormat="1" applyFont="1" applyBorder="1" applyAlignment="1"/>
    <xf numFmtId="38" fontId="48" fillId="0" borderId="0" xfId="59" applyNumberFormat="1" applyFont="1" applyBorder="1" applyAlignment="1"/>
    <xf numFmtId="173" fontId="43" fillId="0" borderId="0" xfId="65" applyNumberFormat="1" applyFont="1"/>
    <xf numFmtId="173" fontId="43" fillId="0" borderId="51" xfId="65" applyNumberFormat="1" applyFont="1" applyBorder="1"/>
    <xf numFmtId="169" fontId="48" fillId="0" borderId="0" xfId="42" applyNumberFormat="1" applyFont="1" applyFill="1" applyBorder="1" applyAlignment="1"/>
    <xf numFmtId="173" fontId="42" fillId="0" borderId="51" xfId="65" applyNumberFormat="1" applyFont="1" applyBorder="1"/>
    <xf numFmtId="38" fontId="45" fillId="0" borderId="0" xfId="59" applyNumberFormat="1" applyFont="1" applyBorder="1" applyAlignment="1"/>
    <xf numFmtId="169" fontId="45" fillId="0" borderId="0" xfId="42" applyNumberFormat="1" applyFont="1" applyFill="1" applyBorder="1" applyAlignment="1"/>
    <xf numFmtId="0" fontId="48" fillId="0" borderId="0" xfId="65" applyFont="1"/>
    <xf numFmtId="38" fontId="43" fillId="38" borderId="52" xfId="70" applyFont="1" applyFill="1" applyBorder="1" applyAlignment="1">
      <alignment vertical="center"/>
    </xf>
    <xf numFmtId="171" fontId="43" fillId="0" borderId="12" xfId="65" applyNumberFormat="1" applyFont="1" applyBorder="1"/>
    <xf numFmtId="38" fontId="43" fillId="38" borderId="53" xfId="70" applyFont="1" applyFill="1" applyBorder="1" applyAlignment="1">
      <alignment vertical="center"/>
    </xf>
    <xf numFmtId="38" fontId="43" fillId="38" borderId="54" xfId="70" applyFont="1" applyFill="1" applyBorder="1" applyAlignment="1">
      <alignment vertical="center"/>
    </xf>
    <xf numFmtId="38" fontId="43" fillId="38" borderId="55" xfId="70" applyFont="1" applyFill="1" applyBorder="1" applyAlignment="1">
      <alignment vertical="center"/>
    </xf>
    <xf numFmtId="0" fontId="43" fillId="38" borderId="55" xfId="65" applyFont="1" applyFill="1" applyBorder="1"/>
    <xf numFmtId="38" fontId="44" fillId="0" borderId="34" xfId="70" applyFont="1" applyFill="1" applyBorder="1" applyAlignment="1">
      <alignment horizontal="right" vertical="center" shrinkToFit="1"/>
    </xf>
    <xf numFmtId="38" fontId="40" fillId="0" borderId="32" xfId="70" applyFont="1" applyFill="1" applyBorder="1" applyAlignment="1">
      <alignment horizontal="right" vertical="center" shrinkToFit="1"/>
    </xf>
    <xf numFmtId="38" fontId="44" fillId="0" borderId="32" xfId="70" applyFont="1" applyFill="1" applyBorder="1" applyAlignment="1">
      <alignment horizontal="right" vertical="center" shrinkToFit="1"/>
    </xf>
    <xf numFmtId="38" fontId="40" fillId="0" borderId="49" xfId="70" applyFont="1" applyFill="1" applyBorder="1" applyAlignment="1">
      <alignment horizontal="right" vertical="center" shrinkToFit="1"/>
    </xf>
    <xf numFmtId="171" fontId="42" fillId="0" borderId="32" xfId="69" applyNumberFormat="1" applyFont="1" applyBorder="1"/>
    <xf numFmtId="171" fontId="40" fillId="0" borderId="41" xfId="69" applyNumberFormat="1" applyFont="1" applyFill="1" applyBorder="1" applyAlignment="1">
      <alignment horizontal="left" vertical="center" shrinkToFit="1"/>
    </xf>
    <xf numFmtId="171" fontId="40" fillId="0" borderId="0" xfId="69" applyNumberFormat="1" applyFont="1" applyFill="1" applyBorder="1" applyAlignment="1">
      <alignment horizontal="left" vertical="center" shrinkToFit="1"/>
    </xf>
    <xf numFmtId="171" fontId="40" fillId="0" borderId="51" xfId="69" applyNumberFormat="1" applyFont="1" applyFill="1" applyBorder="1" applyAlignment="1">
      <alignment horizontal="left" vertical="center" shrinkToFit="1"/>
    </xf>
    <xf numFmtId="171" fontId="42" fillId="0" borderId="34" xfId="69" applyNumberFormat="1" applyFont="1" applyBorder="1"/>
    <xf numFmtId="0" fontId="48" fillId="0" borderId="0" xfId="65" applyFont="1" applyAlignment="1">
      <alignment horizontal="left"/>
    </xf>
    <xf numFmtId="0" fontId="43" fillId="0" borderId="49" xfId="65" applyFont="1" applyBorder="1"/>
    <xf numFmtId="38" fontId="43" fillId="38" borderId="62" xfId="70" applyFont="1" applyFill="1" applyBorder="1" applyAlignment="1">
      <alignment vertical="center"/>
    </xf>
    <xf numFmtId="38" fontId="43" fillId="38" borderId="63" xfId="70" applyFont="1" applyFill="1" applyBorder="1" applyAlignment="1">
      <alignment vertical="center"/>
    </xf>
    <xf numFmtId="38" fontId="43" fillId="38" borderId="64" xfId="70" applyFont="1" applyFill="1" applyBorder="1" applyAlignment="1">
      <alignment vertical="center"/>
    </xf>
    <xf numFmtId="38" fontId="43" fillId="0" borderId="33" xfId="70" applyFont="1" applyFill="1" applyBorder="1" applyAlignment="1">
      <alignment vertical="center"/>
    </xf>
    <xf numFmtId="38" fontId="43" fillId="0" borderId="50" xfId="70" applyFont="1" applyFill="1" applyBorder="1" applyAlignment="1">
      <alignment vertical="center"/>
    </xf>
    <xf numFmtId="38" fontId="43" fillId="0" borderId="62" xfId="70" applyFont="1" applyFill="1" applyBorder="1" applyAlignment="1">
      <alignment horizontal="right" vertical="center" shrinkToFit="1"/>
    </xf>
    <xf numFmtId="169" fontId="44" fillId="0" borderId="64" xfId="74" applyNumberFormat="1" applyFont="1" applyFill="1" applyBorder="1" applyAlignment="1">
      <alignment horizontal="left" vertical="center" shrinkToFit="1"/>
    </xf>
    <xf numFmtId="38" fontId="43" fillId="38" borderId="56" xfId="70" applyFont="1" applyFill="1" applyBorder="1" applyAlignment="1">
      <alignment vertical="center"/>
    </xf>
    <xf numFmtId="38" fontId="43" fillId="38" borderId="61" xfId="70" applyFont="1" applyFill="1" applyBorder="1" applyAlignment="1">
      <alignment vertical="center"/>
    </xf>
    <xf numFmtId="38" fontId="43" fillId="0" borderId="34" xfId="70" applyFont="1" applyFill="1" applyBorder="1" applyAlignment="1">
      <alignment vertical="center"/>
    </xf>
    <xf numFmtId="38" fontId="43" fillId="0" borderId="49" xfId="70" applyFont="1" applyFill="1" applyBorder="1" applyAlignment="1">
      <alignment vertical="center"/>
    </xf>
    <xf numFmtId="38" fontId="43" fillId="0" borderId="55" xfId="70" applyFont="1" applyFill="1" applyBorder="1" applyAlignment="1">
      <alignment horizontal="right" vertical="center" shrinkToFit="1"/>
    </xf>
    <xf numFmtId="169" fontId="44" fillId="0" borderId="61" xfId="74" applyNumberFormat="1" applyFont="1" applyFill="1" applyBorder="1" applyAlignment="1">
      <alignment horizontal="left" vertical="center" shrinkToFit="1"/>
    </xf>
    <xf numFmtId="169" fontId="43" fillId="0" borderId="0" xfId="67" applyNumberFormat="1" applyFont="1" applyFill="1"/>
    <xf numFmtId="0" fontId="42" fillId="37" borderId="31" xfId="65" applyFont="1" applyFill="1" applyBorder="1"/>
    <xf numFmtId="0" fontId="43" fillId="37" borderId="31" xfId="65" applyFont="1" applyFill="1" applyBorder="1"/>
    <xf numFmtId="0" fontId="42" fillId="37" borderId="31" xfId="65" applyFont="1" applyFill="1" applyBorder="1" applyAlignment="1">
      <alignment horizontal="center"/>
    </xf>
    <xf numFmtId="0" fontId="42" fillId="37" borderId="50" xfId="65" applyFont="1" applyFill="1" applyBorder="1" applyAlignment="1">
      <alignment horizontal="center"/>
    </xf>
    <xf numFmtId="0" fontId="43" fillId="37" borderId="41" xfId="65" applyFont="1" applyFill="1" applyBorder="1"/>
    <xf numFmtId="0" fontId="43" fillId="37" borderId="0" xfId="65" applyFont="1" applyFill="1"/>
    <xf numFmtId="171" fontId="43" fillId="37" borderId="0" xfId="65" applyNumberFormat="1" applyFont="1" applyFill="1"/>
    <xf numFmtId="171" fontId="43" fillId="37" borderId="51" xfId="65" applyNumberFormat="1" applyFont="1" applyFill="1" applyBorder="1"/>
    <xf numFmtId="38" fontId="43" fillId="37" borderId="0" xfId="65" applyNumberFormat="1" applyFont="1" applyFill="1"/>
    <xf numFmtId="169" fontId="43" fillId="37" borderId="51" xfId="42" applyNumberFormat="1" applyFont="1" applyFill="1" applyBorder="1" applyAlignment="1"/>
    <xf numFmtId="0" fontId="43" fillId="37" borderId="32" xfId="65" applyFont="1" applyFill="1" applyBorder="1"/>
    <xf numFmtId="171" fontId="43" fillId="37" borderId="32" xfId="65" applyNumberFormat="1" applyFont="1" applyFill="1" applyBorder="1"/>
    <xf numFmtId="169" fontId="43" fillId="37" borderId="49" xfId="42" applyNumberFormat="1" applyFont="1" applyFill="1" applyBorder="1" applyAlignment="1"/>
    <xf numFmtId="170" fontId="43" fillId="0" borderId="32" xfId="65" applyNumberFormat="1" applyFont="1" applyBorder="1"/>
    <xf numFmtId="0" fontId="43" fillId="38" borderId="33" xfId="65" applyFont="1" applyFill="1" applyBorder="1"/>
    <xf numFmtId="0" fontId="43" fillId="38" borderId="31" xfId="65" applyFont="1" applyFill="1" applyBorder="1"/>
    <xf numFmtId="168" fontId="43" fillId="38" borderId="10" xfId="65" applyNumberFormat="1" applyFont="1" applyFill="1" applyBorder="1"/>
    <xf numFmtId="171" fontId="43" fillId="38" borderId="31" xfId="69" applyNumberFormat="1" applyFont="1" applyFill="1" applyBorder="1"/>
    <xf numFmtId="171" fontId="42" fillId="38" borderId="50" xfId="69" applyNumberFormat="1" applyFont="1" applyFill="1" applyBorder="1"/>
    <xf numFmtId="0" fontId="43" fillId="38" borderId="34" xfId="65" applyFont="1" applyFill="1" applyBorder="1"/>
    <xf numFmtId="0" fontId="43" fillId="38" borderId="32" xfId="65" applyFont="1" applyFill="1" applyBorder="1"/>
    <xf numFmtId="171" fontId="43" fillId="38" borderId="32" xfId="69" applyNumberFormat="1" applyFont="1" applyFill="1" applyBorder="1"/>
    <xf numFmtId="171" fontId="42" fillId="38" borderId="49" xfId="69" applyNumberFormat="1" applyFont="1" applyFill="1" applyBorder="1"/>
    <xf numFmtId="170" fontId="49" fillId="0" borderId="0" xfId="65" applyNumberFormat="1" applyFont="1"/>
    <xf numFmtId="171" fontId="49" fillId="0" borderId="0" xfId="69" applyNumberFormat="1" applyFont="1" applyFill="1" applyBorder="1"/>
    <xf numFmtId="0" fontId="51" fillId="0" borderId="0" xfId="65" applyFont="1"/>
    <xf numFmtId="0" fontId="49" fillId="0" borderId="0" xfId="65" applyFont="1" applyFill="1"/>
    <xf numFmtId="9" fontId="49" fillId="0" borderId="0" xfId="67" applyFont="1" applyFill="1" applyBorder="1"/>
    <xf numFmtId="169" fontId="43" fillId="0" borderId="0" xfId="42" applyNumberFormat="1" applyFont="1" applyAlignment="1"/>
    <xf numFmtId="168" fontId="43" fillId="0" borderId="0" xfId="69" applyFont="1" applyBorder="1"/>
    <xf numFmtId="168" fontId="43" fillId="0" borderId="51" xfId="69" applyFont="1" applyBorder="1"/>
    <xf numFmtId="0" fontId="49" fillId="0" borderId="32" xfId="65" applyFont="1" applyFill="1" applyBorder="1"/>
    <xf numFmtId="0" fontId="49" fillId="0" borderId="31" xfId="65" applyFont="1" applyFill="1" applyBorder="1"/>
    <xf numFmtId="170" fontId="49" fillId="0" borderId="0" xfId="65" applyNumberFormat="1" applyFont="1" applyFill="1"/>
    <xf numFmtId="171" fontId="42" fillId="33" borderId="10" xfId="69" applyNumberFormat="1" applyFont="1" applyFill="1" applyBorder="1"/>
    <xf numFmtId="169" fontId="42" fillId="33" borderId="10" xfId="67" applyNumberFormat="1" applyFont="1" applyFill="1" applyBorder="1"/>
    <xf numFmtId="38" fontId="40" fillId="0" borderId="0" xfId="65" applyNumberFormat="1" applyFont="1" applyAlignment="1">
      <alignment horizontal="center"/>
    </xf>
    <xf numFmtId="191" fontId="43" fillId="0" borderId="12" xfId="65" applyNumberFormat="1" applyFont="1" applyBorder="1"/>
    <xf numFmtId="191" fontId="43" fillId="0" borderId="14" xfId="65" applyNumberFormat="1" applyFont="1" applyBorder="1"/>
    <xf numFmtId="38" fontId="43" fillId="0" borderId="41" xfId="70" applyFont="1" applyFill="1" applyBorder="1" applyAlignment="1">
      <alignment horizontal="right" vertical="center" shrinkToFit="1"/>
    </xf>
    <xf numFmtId="38" fontId="44" fillId="0" borderId="0" xfId="70" applyFont="1" applyFill="1" applyBorder="1" applyAlignment="1">
      <alignment horizontal="left" vertical="center" shrinkToFit="1"/>
    </xf>
    <xf numFmtId="169" fontId="44" fillId="0" borderId="0" xfId="74" applyNumberFormat="1" applyFont="1" applyFill="1" applyBorder="1" applyAlignment="1">
      <alignment horizontal="left" vertical="center" shrinkToFit="1"/>
    </xf>
    <xf numFmtId="171" fontId="43" fillId="0" borderId="13" xfId="65" applyNumberFormat="1" applyFont="1" applyBorder="1"/>
    <xf numFmtId="38" fontId="43" fillId="0" borderId="34" xfId="70" applyFont="1" applyFill="1" applyBorder="1" applyAlignment="1">
      <alignment horizontal="right" vertical="center" shrinkToFit="1"/>
    </xf>
    <xf numFmtId="38" fontId="44" fillId="0" borderId="32" xfId="70" applyFont="1" applyFill="1" applyBorder="1" applyAlignment="1">
      <alignment horizontal="left" vertical="center" shrinkToFit="1"/>
    </xf>
    <xf numFmtId="37" fontId="44" fillId="0" borderId="32" xfId="74" applyNumberFormat="1" applyFont="1" applyFill="1" applyBorder="1" applyAlignment="1">
      <alignment horizontal="left" vertical="center" shrinkToFit="1"/>
    </xf>
    <xf numFmtId="1" fontId="43" fillId="0" borderId="32" xfId="65" applyNumberFormat="1" applyFont="1" applyBorder="1"/>
    <xf numFmtId="0" fontId="41" fillId="0" borderId="0" xfId="65" applyFont="1" applyAlignment="1">
      <alignment horizontal="left"/>
    </xf>
    <xf numFmtId="169" fontId="43" fillId="0" borderId="32" xfId="67" applyNumberFormat="1" applyFont="1" applyFill="1" applyBorder="1"/>
    <xf numFmtId="38" fontId="43" fillId="38" borderId="60" xfId="70" applyFont="1" applyFill="1" applyBorder="1" applyAlignment="1">
      <alignment vertical="center"/>
    </xf>
    <xf numFmtId="169" fontId="43" fillId="0" borderId="31" xfId="74" applyNumberFormat="1" applyFont="1" applyFill="1" applyBorder="1" applyAlignment="1">
      <alignment vertical="center"/>
    </xf>
    <xf numFmtId="38" fontId="43" fillId="0" borderId="31" xfId="70" applyFont="1" applyFill="1" applyBorder="1" applyAlignment="1">
      <alignment horizontal="right" vertical="center" shrinkToFit="1"/>
    </xf>
    <xf numFmtId="169" fontId="49" fillId="0" borderId="50" xfId="74" applyNumberFormat="1" applyFont="1" applyFill="1" applyBorder="1" applyAlignment="1">
      <alignment horizontal="left" vertical="center" shrinkToFit="1"/>
    </xf>
    <xf numFmtId="169" fontId="43" fillId="0" borderId="32" xfId="74" applyNumberFormat="1" applyFont="1" applyFill="1" applyBorder="1" applyAlignment="1">
      <alignment vertical="center"/>
    </xf>
    <xf numFmtId="169" fontId="44" fillId="0" borderId="49" xfId="74" applyNumberFormat="1" applyFont="1" applyFill="1" applyBorder="1" applyAlignment="1">
      <alignment horizontal="left" vertical="center" shrinkToFit="1"/>
    </xf>
    <xf numFmtId="0" fontId="43" fillId="37" borderId="51" xfId="65" applyFont="1" applyFill="1" applyBorder="1"/>
    <xf numFmtId="169" fontId="43" fillId="37" borderId="51" xfId="67" applyNumberFormat="1" applyFont="1" applyFill="1" applyBorder="1"/>
    <xf numFmtId="169" fontId="43" fillId="37" borderId="49" xfId="67" applyNumberFormat="1" applyFont="1" applyFill="1" applyBorder="1"/>
    <xf numFmtId="0" fontId="43" fillId="0" borderId="0" xfId="0" applyFont="1">
      <alignment vertical="center"/>
    </xf>
    <xf numFmtId="0" fontId="43" fillId="41" borderId="10" xfId="0" applyFont="1" applyFill="1" applyBorder="1">
      <alignment vertical="center"/>
    </xf>
    <xf numFmtId="0" fontId="43" fillId="41" borderId="10" xfId="0" applyFont="1" applyFill="1" applyBorder="1" applyAlignment="1">
      <alignment horizontal="center" vertical="center"/>
    </xf>
    <xf numFmtId="0" fontId="43" fillId="41" borderId="11" xfId="0" applyFont="1" applyFill="1" applyBorder="1" applyAlignment="1">
      <alignment horizontal="center" vertical="center"/>
    </xf>
    <xf numFmtId="0" fontId="43" fillId="41" borderId="16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74" fontId="43" fillId="0" borderId="0" xfId="59" applyNumberFormat="1" applyFont="1">
      <alignment vertical="center"/>
    </xf>
    <xf numFmtId="170" fontId="43" fillId="0" borderId="0" xfId="0" applyNumberFormat="1" applyFont="1">
      <alignment vertical="center"/>
    </xf>
    <xf numFmtId="169" fontId="43" fillId="0" borderId="0" xfId="0" applyNumberFormat="1" applyFont="1">
      <alignment vertical="center"/>
    </xf>
    <xf numFmtId="0" fontId="42" fillId="41" borderId="11" xfId="0" applyFont="1" applyFill="1" applyBorder="1">
      <alignment vertical="center"/>
    </xf>
    <xf numFmtId="0" fontId="42" fillId="41" borderId="15" xfId="0" applyFont="1" applyFill="1" applyBorder="1">
      <alignment vertical="center"/>
    </xf>
    <xf numFmtId="170" fontId="42" fillId="41" borderId="16" xfId="0" applyNumberFormat="1" applyFont="1" applyFill="1" applyBorder="1">
      <alignment vertical="center"/>
    </xf>
    <xf numFmtId="169" fontId="42" fillId="0" borderId="0" xfId="0" applyNumberFormat="1" applyFont="1">
      <alignment vertical="center"/>
    </xf>
    <xf numFmtId="0" fontId="43" fillId="41" borderId="11" xfId="0" applyFont="1" applyFill="1" applyBorder="1" applyAlignment="1">
      <alignment horizontal="right" vertical="center"/>
    </xf>
    <xf numFmtId="38" fontId="42" fillId="41" borderId="16" xfId="59" applyNumberFormat="1" applyFont="1" applyFill="1" applyBorder="1">
      <alignment vertical="center"/>
    </xf>
    <xf numFmtId="0" fontId="52" fillId="0" borderId="0" xfId="65" applyFont="1"/>
    <xf numFmtId="171" fontId="42" fillId="37" borderId="0" xfId="65" applyNumberFormat="1" applyFont="1" applyFill="1"/>
    <xf numFmtId="0" fontId="53" fillId="0" borderId="0" xfId="72" applyFont="1"/>
    <xf numFmtId="171" fontId="49" fillId="0" borderId="31" xfId="69" applyNumberFormat="1" applyFont="1" applyBorder="1"/>
    <xf numFmtId="171" fontId="49" fillId="0" borderId="0" xfId="69" applyNumberFormat="1" applyFont="1" applyBorder="1"/>
    <xf numFmtId="169" fontId="42" fillId="38" borderId="51" xfId="65" applyNumberFormat="1" applyFont="1" applyFill="1" applyBorder="1"/>
    <xf numFmtId="171" fontId="42" fillId="38" borderId="51" xfId="69" applyNumberFormat="1" applyFont="1" applyFill="1" applyBorder="1"/>
    <xf numFmtId="168" fontId="48" fillId="0" borderId="10" xfId="69" applyFont="1" applyFill="1" applyBorder="1"/>
    <xf numFmtId="2" fontId="43" fillId="0" borderId="0" xfId="65" applyNumberFormat="1" applyFont="1"/>
    <xf numFmtId="172" fontId="49" fillId="0" borderId="32" xfId="69" applyNumberFormat="1" applyFont="1" applyFill="1" applyBorder="1"/>
    <xf numFmtId="168" fontId="43" fillId="0" borderId="0" xfId="69" applyFont="1"/>
    <xf numFmtId="172" fontId="51" fillId="0" borderId="0" xfId="69" applyNumberFormat="1" applyFont="1"/>
    <xf numFmtId="169" fontId="51" fillId="0" borderId="0" xfId="65" applyNumberFormat="1" applyFont="1"/>
    <xf numFmtId="0" fontId="43" fillId="0" borderId="0" xfId="65" applyFont="1" applyAlignment="1">
      <alignment horizontal="center"/>
    </xf>
    <xf numFmtId="0" fontId="43" fillId="38" borderId="10" xfId="65" applyFont="1" applyFill="1" applyBorder="1" applyAlignment="1">
      <alignment horizontal="center"/>
    </xf>
    <xf numFmtId="172" fontId="40" fillId="0" borderId="0" xfId="69" applyNumberFormat="1" applyFont="1" applyFill="1" applyAlignment="1">
      <alignment horizontal="right" vertical="center"/>
    </xf>
    <xf numFmtId="171" fontId="40" fillId="0" borderId="0" xfId="69" applyNumberFormat="1" applyFont="1" applyAlignment="1">
      <alignment horizontal="right" vertical="center"/>
    </xf>
    <xf numFmtId="171" fontId="40" fillId="0" borderId="33" xfId="65" applyNumberFormat="1" applyFont="1" applyBorder="1" applyAlignment="1">
      <alignment horizontal="center"/>
    </xf>
    <xf numFmtId="171" fontId="40" fillId="0" borderId="31" xfId="65" applyNumberFormat="1" applyFont="1" applyBorder="1" applyAlignment="1">
      <alignment horizontal="center"/>
    </xf>
    <xf numFmtId="171" fontId="40" fillId="0" borderId="50" xfId="65" applyNumberFormat="1" applyFont="1" applyBorder="1" applyAlignment="1">
      <alignment horizontal="center"/>
    </xf>
    <xf numFmtId="171" fontId="40" fillId="0" borderId="41" xfId="65" applyNumberFormat="1" applyFont="1" applyBorder="1" applyAlignment="1">
      <alignment horizontal="center"/>
    </xf>
    <xf numFmtId="171" fontId="40" fillId="0" borderId="0" xfId="65" applyNumberFormat="1" applyFont="1" applyAlignment="1">
      <alignment horizontal="center"/>
    </xf>
    <xf numFmtId="171" fontId="40" fillId="0" borderId="51" xfId="65" applyNumberFormat="1" applyFont="1" applyBorder="1" applyAlignment="1">
      <alignment horizontal="center"/>
    </xf>
    <xf numFmtId="171" fontId="43" fillId="0" borderId="41" xfId="65" applyNumberFormat="1" applyFont="1" applyBorder="1" applyAlignment="1">
      <alignment horizontal="center"/>
    </xf>
    <xf numFmtId="171" fontId="43" fillId="0" borderId="0" xfId="65" applyNumberFormat="1" applyFont="1" applyAlignment="1">
      <alignment horizontal="center"/>
    </xf>
    <xf numFmtId="172" fontId="41" fillId="0" borderId="0" xfId="69" applyNumberFormat="1" applyFont="1" applyAlignment="1">
      <alignment horizontal="right"/>
    </xf>
    <xf numFmtId="171" fontId="42" fillId="38" borderId="10" xfId="69" applyNumberFormat="1" applyFont="1" applyFill="1" applyBorder="1"/>
    <xf numFmtId="171" fontId="42" fillId="0" borderId="34" xfId="65" applyNumberFormat="1" applyFont="1" applyBorder="1" applyAlignment="1">
      <alignment horizontal="center"/>
    </xf>
    <xf numFmtId="171" fontId="42" fillId="0" borderId="32" xfId="65" applyNumberFormat="1" applyFont="1" applyBorder="1" applyAlignment="1">
      <alignment horizontal="center"/>
    </xf>
    <xf numFmtId="171" fontId="42" fillId="38" borderId="49" xfId="65" applyNumberFormat="1" applyFont="1" applyFill="1" applyBorder="1" applyAlignment="1">
      <alignment horizontal="center"/>
    </xf>
    <xf numFmtId="169" fontId="42" fillId="0" borderId="0" xfId="67" applyNumberFormat="1" applyFont="1"/>
    <xf numFmtId="1" fontId="42" fillId="0" borderId="0" xfId="65" applyNumberFormat="1" applyFont="1"/>
    <xf numFmtId="168" fontId="43" fillId="0" borderId="0" xfId="65" applyNumberFormat="1" applyFont="1"/>
    <xf numFmtId="175" fontId="43" fillId="0" borderId="0" xfId="65" applyNumberFormat="1" applyFont="1"/>
    <xf numFmtId="172" fontId="40" fillId="0" borderId="0" xfId="69" applyNumberFormat="1" applyFont="1" applyAlignment="1">
      <alignment horizontal="right" vertical="center"/>
    </xf>
    <xf numFmtId="171" fontId="40" fillId="0" borderId="0" xfId="73" applyNumberFormat="1" applyFont="1" applyAlignment="1">
      <alignment horizontal="right" vertical="center"/>
    </xf>
    <xf numFmtId="169" fontId="45" fillId="0" borderId="33" xfId="42" applyNumberFormat="1" applyFont="1" applyFill="1" applyBorder="1" applyAlignment="1"/>
    <xf numFmtId="169" fontId="40" fillId="0" borderId="31" xfId="42" applyNumberFormat="1" applyFont="1" applyBorder="1" applyAlignment="1"/>
    <xf numFmtId="169" fontId="40" fillId="0" borderId="50" xfId="67" applyNumberFormat="1" applyFont="1" applyBorder="1"/>
    <xf numFmtId="169" fontId="40" fillId="0" borderId="0" xfId="67" applyNumberFormat="1" applyFont="1" applyBorder="1"/>
    <xf numFmtId="169" fontId="45" fillId="0" borderId="41" xfId="67" applyNumberFormat="1" applyFont="1" applyFill="1" applyBorder="1"/>
    <xf numFmtId="169" fontId="40" fillId="0" borderId="0" xfId="42" applyNumberFormat="1" applyFont="1" applyBorder="1" applyAlignment="1"/>
    <xf numFmtId="169" fontId="40" fillId="0" borderId="51" xfId="67" applyNumberFormat="1" applyFont="1" applyBorder="1"/>
    <xf numFmtId="169" fontId="41" fillId="0" borderId="41" xfId="67" applyNumberFormat="1" applyFont="1" applyBorder="1"/>
    <xf numFmtId="169" fontId="41" fillId="0" borderId="0" xfId="67" applyNumberFormat="1" applyFont="1" applyBorder="1"/>
    <xf numFmtId="169" fontId="41" fillId="38" borderId="51" xfId="67" applyNumberFormat="1" applyFont="1" applyFill="1" applyBorder="1"/>
    <xf numFmtId="169" fontId="42" fillId="0" borderId="0" xfId="65" applyNumberFormat="1" applyFont="1"/>
    <xf numFmtId="0" fontId="54" fillId="0" borderId="0" xfId="65" applyFont="1" applyAlignment="1">
      <alignment horizontal="right"/>
    </xf>
    <xf numFmtId="0" fontId="55" fillId="37" borderId="34" xfId="65" applyFont="1" applyFill="1" applyBorder="1" applyAlignment="1">
      <alignment horizontal="right"/>
    </xf>
    <xf numFmtId="2" fontId="55" fillId="37" borderId="32" xfId="65" applyNumberFormat="1" applyFont="1" applyFill="1" applyBorder="1"/>
    <xf numFmtId="169" fontId="56" fillId="0" borderId="49" xfId="67" applyNumberFormat="1" applyFont="1" applyBorder="1"/>
    <xf numFmtId="172" fontId="42" fillId="0" borderId="0" xfId="69" applyNumberFormat="1" applyFont="1"/>
    <xf numFmtId="169" fontId="48" fillId="0" borderId="0" xfId="67" applyNumberFormat="1" applyFont="1"/>
    <xf numFmtId="0" fontId="55" fillId="0" borderId="12" xfId="65" applyFont="1" applyBorder="1" applyAlignment="1">
      <alignment horizontal="right"/>
    </xf>
    <xf numFmtId="169" fontId="48" fillId="0" borderId="0" xfId="67" applyNumberFormat="1" applyFont="1" applyFill="1"/>
    <xf numFmtId="172" fontId="42" fillId="0" borderId="0" xfId="69" applyNumberFormat="1" applyFont="1" applyBorder="1"/>
    <xf numFmtId="172" fontId="42" fillId="0" borderId="13" xfId="69" applyNumberFormat="1" applyFont="1" applyBorder="1"/>
    <xf numFmtId="172" fontId="48" fillId="0" borderId="0" xfId="69" applyNumberFormat="1" applyFont="1" applyBorder="1" applyAlignment="1">
      <alignment horizontal="right"/>
    </xf>
    <xf numFmtId="40" fontId="55" fillId="0" borderId="0" xfId="59" applyFont="1" applyAlignment="1"/>
    <xf numFmtId="169" fontId="43" fillId="0" borderId="0" xfId="69" applyNumberFormat="1" applyFont="1" applyBorder="1"/>
    <xf numFmtId="172" fontId="43" fillId="0" borderId="0" xfId="69" applyNumberFormat="1" applyFont="1" applyBorder="1" applyAlignment="1">
      <alignment horizontal="right"/>
    </xf>
    <xf numFmtId="40" fontId="56" fillId="0" borderId="0" xfId="59" applyFont="1" applyAlignment="1"/>
    <xf numFmtId="0" fontId="57" fillId="0" borderId="0" xfId="65" applyFont="1"/>
    <xf numFmtId="171" fontId="48" fillId="0" borderId="70" xfId="69" applyNumberFormat="1" applyFont="1" applyBorder="1"/>
    <xf numFmtId="38" fontId="43" fillId="0" borderId="0" xfId="59" applyNumberFormat="1" applyFont="1" applyAlignment="1">
      <alignment horizontal="center"/>
    </xf>
    <xf numFmtId="171" fontId="48" fillId="0" borderId="41" xfId="69" applyNumberFormat="1" applyFont="1" applyBorder="1"/>
    <xf numFmtId="171" fontId="41" fillId="0" borderId="41" xfId="65" applyNumberFormat="1" applyFont="1" applyBorder="1"/>
    <xf numFmtId="171" fontId="41" fillId="0" borderId="0" xfId="65" applyNumberFormat="1" applyFont="1"/>
    <xf numFmtId="171" fontId="41" fillId="38" borderId="51" xfId="65" applyNumberFormat="1" applyFont="1" applyFill="1" applyBorder="1"/>
    <xf numFmtId="0" fontId="55" fillId="0" borderId="0" xfId="65" applyFont="1" applyAlignment="1">
      <alignment horizontal="right"/>
    </xf>
    <xf numFmtId="2" fontId="55" fillId="0" borderId="0" xfId="65" applyNumberFormat="1" applyFont="1"/>
    <xf numFmtId="169" fontId="56" fillId="0" borderId="0" xfId="67" applyNumberFormat="1" applyFont="1" applyBorder="1"/>
    <xf numFmtId="0" fontId="42" fillId="0" borderId="0" xfId="65" applyFont="1" applyFill="1"/>
    <xf numFmtId="172" fontId="42" fillId="0" borderId="0" xfId="69" applyNumberFormat="1" applyFont="1" applyFill="1"/>
    <xf numFmtId="0" fontId="55" fillId="0" borderId="12" xfId="65" applyFont="1" applyFill="1" applyBorder="1" applyAlignment="1">
      <alignment horizontal="right"/>
    </xf>
    <xf numFmtId="0" fontId="48" fillId="0" borderId="0" xfId="65" applyFont="1" applyFill="1"/>
    <xf numFmtId="38" fontId="55" fillId="0" borderId="0" xfId="65" applyNumberFormat="1" applyFont="1" applyFill="1" applyAlignment="1">
      <alignment horizontal="right"/>
    </xf>
    <xf numFmtId="171" fontId="42" fillId="0" borderId="0" xfId="65" applyNumberFormat="1" applyFont="1" applyFill="1"/>
    <xf numFmtId="171" fontId="42" fillId="0" borderId="0" xfId="69" applyNumberFormat="1" applyFont="1" applyFill="1"/>
    <xf numFmtId="172" fontId="54" fillId="0" borderId="13" xfId="69" applyNumberFormat="1" applyFont="1" applyBorder="1" applyAlignment="1">
      <alignment horizontal="right"/>
    </xf>
    <xf numFmtId="168" fontId="55" fillId="0" borderId="0" xfId="65" applyNumberFormat="1" applyFont="1"/>
    <xf numFmtId="171" fontId="56" fillId="0" borderId="0" xfId="65" applyNumberFormat="1" applyFont="1"/>
    <xf numFmtId="38" fontId="43" fillId="0" borderId="0" xfId="77" applyFont="1" applyAlignment="1"/>
    <xf numFmtId="172" fontId="54" fillId="0" borderId="0" xfId="69" applyNumberFormat="1" applyFont="1" applyAlignment="1">
      <alignment horizontal="right"/>
    </xf>
    <xf numFmtId="171" fontId="40" fillId="0" borderId="33" xfId="69" applyNumberFormat="1" applyFont="1" applyBorder="1"/>
    <xf numFmtId="171" fontId="40" fillId="0" borderId="41" xfId="69" applyNumberFormat="1" applyFont="1" applyBorder="1"/>
    <xf numFmtId="0" fontId="43" fillId="0" borderId="0" xfId="65" applyFont="1" applyAlignment="1">
      <alignment horizontal="right"/>
    </xf>
    <xf numFmtId="171" fontId="43" fillId="0" borderId="33" xfId="69" applyNumberFormat="1" applyFont="1" applyBorder="1"/>
    <xf numFmtId="171" fontId="43" fillId="0" borderId="41" xfId="69" applyNumberFormat="1" applyFont="1" applyBorder="1"/>
    <xf numFmtId="171" fontId="42" fillId="0" borderId="34" xfId="65" applyNumberFormat="1" applyFont="1" applyBorder="1"/>
    <xf numFmtId="171" fontId="42" fillId="38" borderId="49" xfId="65" applyNumberFormat="1" applyFont="1" applyFill="1" applyBorder="1"/>
    <xf numFmtId="0" fontId="43" fillId="0" borderId="31" xfId="65" applyFont="1" applyBorder="1" applyAlignment="1">
      <alignment horizontal="right"/>
    </xf>
    <xf numFmtId="0" fontId="43" fillId="0" borderId="50" xfId="65" applyFont="1" applyBorder="1" applyAlignment="1">
      <alignment horizontal="right"/>
    </xf>
    <xf numFmtId="169" fontId="43" fillId="0" borderId="32" xfId="67" applyNumberFormat="1" applyFont="1" applyFill="1" applyBorder="1" applyAlignment="1">
      <alignment horizontal="right"/>
    </xf>
    <xf numFmtId="169" fontId="43" fillId="0" borderId="49" xfId="67" applyNumberFormat="1" applyFont="1" applyFill="1" applyBorder="1" applyAlignment="1">
      <alignment horizontal="right"/>
    </xf>
    <xf numFmtId="171" fontId="43" fillId="0" borderId="0" xfId="69" applyNumberFormat="1" applyFont="1" applyAlignment="1">
      <alignment horizontal="right"/>
    </xf>
    <xf numFmtId="38" fontId="40" fillId="0" borderId="0" xfId="65" applyNumberFormat="1" applyFont="1"/>
    <xf numFmtId="38" fontId="44" fillId="0" borderId="41" xfId="70" applyFont="1" applyFill="1" applyBorder="1" applyAlignment="1">
      <alignment horizontal="left" vertical="center" shrinkToFit="1"/>
    </xf>
    <xf numFmtId="0" fontId="42" fillId="38" borderId="34" xfId="65" applyFont="1" applyFill="1" applyBorder="1"/>
    <xf numFmtId="0" fontId="43" fillId="0" borderId="0" xfId="65" applyFont="1" applyAlignment="1">
      <alignment vertical="center"/>
    </xf>
    <xf numFmtId="0" fontId="42" fillId="38" borderId="32" xfId="65" applyFont="1" applyFill="1" applyBorder="1"/>
    <xf numFmtId="38" fontId="43" fillId="0" borderId="41" xfId="70" applyFont="1" applyFill="1" applyBorder="1" applyAlignment="1">
      <alignment vertical="center"/>
    </xf>
    <xf numFmtId="38" fontId="43" fillId="0" borderId="51" xfId="70" applyFont="1" applyFill="1" applyBorder="1" applyAlignment="1">
      <alignment vertical="center"/>
    </xf>
    <xf numFmtId="38" fontId="42" fillId="0" borderId="34" xfId="65" applyNumberFormat="1" applyFont="1" applyBorder="1"/>
    <xf numFmtId="38" fontId="42" fillId="0" borderId="32" xfId="65" applyNumberFormat="1" applyFont="1" applyBorder="1"/>
    <xf numFmtId="9" fontId="43" fillId="0" borderId="0" xfId="65" applyNumberFormat="1" applyFont="1"/>
    <xf numFmtId="0" fontId="43" fillId="38" borderId="52" xfId="65" applyFont="1" applyFill="1" applyBorder="1" applyAlignment="1">
      <alignment vertical="center"/>
    </xf>
    <xf numFmtId="0" fontId="43" fillId="38" borderId="57" xfId="65" applyFont="1" applyFill="1" applyBorder="1"/>
    <xf numFmtId="38" fontId="43" fillId="0" borderId="18" xfId="70" applyFont="1" applyFill="1" applyBorder="1" applyAlignment="1">
      <alignment vertical="center"/>
    </xf>
    <xf numFmtId="38" fontId="43" fillId="0" borderId="17" xfId="70" applyFont="1" applyFill="1" applyBorder="1" applyAlignment="1">
      <alignment horizontal="right" vertical="center" shrinkToFit="1"/>
    </xf>
    <xf numFmtId="38" fontId="45" fillId="0" borderId="19" xfId="59" applyNumberFormat="1" applyFont="1" applyFill="1" applyBorder="1" applyAlignment="1">
      <alignment horizontal="left" vertical="center" shrinkToFit="1"/>
    </xf>
    <xf numFmtId="0" fontId="43" fillId="0" borderId="33" xfId="65" applyFont="1" applyBorder="1" applyAlignment="1">
      <alignment vertical="center"/>
    </xf>
    <xf numFmtId="0" fontId="43" fillId="0" borderId="31" xfId="65" applyFont="1" applyBorder="1" applyAlignment="1">
      <alignment horizontal="center" vertical="center"/>
    </xf>
    <xf numFmtId="0" fontId="42" fillId="0" borderId="50" xfId="65" applyFont="1" applyBorder="1" applyAlignment="1">
      <alignment horizontal="center" vertical="center"/>
    </xf>
    <xf numFmtId="0" fontId="43" fillId="38" borderId="53" xfId="65" applyFont="1" applyFill="1" applyBorder="1" applyAlignment="1">
      <alignment vertical="center"/>
    </xf>
    <xf numFmtId="0" fontId="43" fillId="38" borderId="58" xfId="65" applyFont="1" applyFill="1" applyBorder="1"/>
    <xf numFmtId="38" fontId="43" fillId="0" borderId="21" xfId="70" applyFont="1" applyFill="1" applyBorder="1" applyAlignment="1">
      <alignment vertical="center"/>
    </xf>
    <xf numFmtId="38" fontId="43" fillId="0" borderId="20" xfId="70" applyFont="1" applyFill="1" applyBorder="1" applyAlignment="1">
      <alignment horizontal="right" vertical="center" shrinkToFit="1"/>
    </xf>
    <xf numFmtId="169" fontId="40" fillId="0" borderId="22" xfId="74" applyNumberFormat="1" applyFont="1" applyFill="1" applyBorder="1" applyAlignment="1">
      <alignment horizontal="left" vertical="center" shrinkToFit="1"/>
    </xf>
    <xf numFmtId="0" fontId="43" fillId="0" borderId="41" xfId="65" applyFont="1" applyBorder="1" applyAlignment="1">
      <alignment vertical="center"/>
    </xf>
    <xf numFmtId="9" fontId="48" fillId="0" borderId="0" xfId="65" applyNumberFormat="1" applyFont="1" applyAlignment="1">
      <alignment vertical="center"/>
    </xf>
    <xf numFmtId="171" fontId="43" fillId="0" borderId="51" xfId="69" applyNumberFormat="1" applyFont="1" applyFill="1" applyBorder="1" applyAlignment="1">
      <alignment vertical="center"/>
    </xf>
    <xf numFmtId="38" fontId="45" fillId="0" borderId="22" xfId="59" applyNumberFormat="1" applyFont="1" applyFill="1" applyBorder="1" applyAlignment="1">
      <alignment horizontal="left" vertical="center" shrinkToFit="1"/>
    </xf>
    <xf numFmtId="169" fontId="44" fillId="0" borderId="22" xfId="74" applyNumberFormat="1" applyFont="1" applyFill="1" applyBorder="1" applyAlignment="1">
      <alignment horizontal="left" vertical="center" shrinkToFit="1"/>
    </xf>
    <xf numFmtId="0" fontId="42" fillId="38" borderId="59" xfId="65" applyFont="1" applyFill="1" applyBorder="1"/>
    <xf numFmtId="38" fontId="42" fillId="0" borderId="26" xfId="70" applyFont="1" applyFill="1" applyBorder="1" applyAlignment="1">
      <alignment vertical="center"/>
    </xf>
    <xf numFmtId="169" fontId="42" fillId="0" borderId="27" xfId="74" applyNumberFormat="1" applyFont="1" applyFill="1" applyBorder="1" applyAlignment="1">
      <alignment vertical="center"/>
    </xf>
    <xf numFmtId="38" fontId="43" fillId="0" borderId="25" xfId="70" applyFont="1" applyFill="1" applyBorder="1" applyAlignment="1">
      <alignment horizontal="right" vertical="center" shrinkToFit="1"/>
    </xf>
    <xf numFmtId="169" fontId="44" fillId="0" borderId="27" xfId="74" applyNumberFormat="1" applyFont="1" applyFill="1" applyBorder="1" applyAlignment="1">
      <alignment horizontal="left" vertical="center" shrinkToFit="1"/>
    </xf>
    <xf numFmtId="0" fontId="43" fillId="0" borderId="34" xfId="65" applyFont="1" applyBorder="1" applyAlignment="1">
      <alignment vertical="center"/>
    </xf>
    <xf numFmtId="0" fontId="43" fillId="0" borderId="32" xfId="65" applyFont="1" applyBorder="1" applyAlignment="1">
      <alignment vertical="center"/>
    </xf>
    <xf numFmtId="169" fontId="51" fillId="35" borderId="10" xfId="42" applyNumberFormat="1" applyFont="1" applyFill="1" applyBorder="1" applyAlignment="1">
      <alignment vertical="center"/>
    </xf>
    <xf numFmtId="171" fontId="43" fillId="0" borderId="49" xfId="65" applyNumberFormat="1" applyFont="1" applyBorder="1" applyAlignment="1">
      <alignment vertical="center"/>
    </xf>
    <xf numFmtId="0" fontId="42" fillId="0" borderId="0" xfId="65" applyFont="1" applyAlignment="1">
      <alignment horizontal="left"/>
    </xf>
    <xf numFmtId="169" fontId="43" fillId="0" borderId="51" xfId="67" applyNumberFormat="1" applyFont="1" applyFill="1" applyBorder="1"/>
    <xf numFmtId="0" fontId="43" fillId="37" borderId="12" xfId="65" applyFont="1" applyFill="1" applyBorder="1"/>
    <xf numFmtId="171" fontId="43" fillId="37" borderId="14" xfId="69" applyNumberFormat="1" applyFont="1" applyFill="1" applyBorder="1"/>
    <xf numFmtId="171" fontId="43" fillId="37" borderId="13" xfId="69" applyNumberFormat="1" applyFont="1" applyFill="1" applyBorder="1"/>
    <xf numFmtId="171" fontId="43" fillId="0" borderId="33" xfId="65" applyNumberFormat="1" applyFont="1" applyBorder="1"/>
    <xf numFmtId="171" fontId="43" fillId="0" borderId="41" xfId="65" applyNumberFormat="1" applyFont="1" applyBorder="1"/>
    <xf numFmtId="167" fontId="40" fillId="0" borderId="0" xfId="66" applyFont="1"/>
    <xf numFmtId="167" fontId="43" fillId="0" borderId="0" xfId="66" applyFont="1"/>
    <xf numFmtId="169" fontId="40" fillId="0" borderId="0" xfId="65" applyNumberFormat="1" applyFont="1"/>
    <xf numFmtId="0" fontId="58" fillId="0" borderId="0" xfId="65" applyFont="1"/>
    <xf numFmtId="0" fontId="58" fillId="0" borderId="0" xfId="65" applyFont="1" applyAlignment="1">
      <alignment horizontal="center"/>
    </xf>
    <xf numFmtId="0" fontId="58" fillId="0" borderId="0" xfId="65" applyFont="1" applyAlignment="1">
      <alignment horizontal="right"/>
    </xf>
    <xf numFmtId="0" fontId="41" fillId="0" borderId="0" xfId="65" applyFont="1" applyAlignment="1">
      <alignment horizontal="center"/>
    </xf>
    <xf numFmtId="0" fontId="59" fillId="0" borderId="0" xfId="65" applyFont="1" applyAlignment="1">
      <alignment horizontal="center"/>
    </xf>
    <xf numFmtId="0" fontId="41" fillId="37" borderId="33" xfId="65" applyFont="1" applyFill="1" applyBorder="1" applyAlignment="1">
      <alignment horizontal="center"/>
    </xf>
    <xf numFmtId="0" fontId="59" fillId="37" borderId="31" xfId="65" applyFont="1" applyFill="1" applyBorder="1" applyAlignment="1">
      <alignment horizontal="center"/>
    </xf>
    <xf numFmtId="0" fontId="58" fillId="37" borderId="31" xfId="65" applyFont="1" applyFill="1" applyBorder="1"/>
    <xf numFmtId="0" fontId="42" fillId="37" borderId="11" xfId="0" applyFont="1" applyFill="1" applyBorder="1" applyAlignment="1"/>
    <xf numFmtId="0" fontId="42" fillId="37" borderId="15" xfId="0" applyFont="1" applyFill="1" applyBorder="1" applyAlignment="1">
      <alignment horizontal="center"/>
    </xf>
    <xf numFmtId="171" fontId="42" fillId="37" borderId="15" xfId="59" applyNumberFormat="1" applyFont="1" applyFill="1" applyBorder="1" applyAlignment="1">
      <alignment horizontal="center"/>
    </xf>
    <xf numFmtId="0" fontId="43" fillId="37" borderId="15" xfId="0" applyFont="1" applyFill="1" applyBorder="1" applyAlignment="1"/>
    <xf numFmtId="0" fontId="43" fillId="37" borderId="16" xfId="0" applyFont="1" applyFill="1" applyBorder="1" applyAlignment="1"/>
    <xf numFmtId="0" fontId="41" fillId="37" borderId="34" xfId="65" applyFont="1" applyFill="1" applyBorder="1" applyAlignment="1">
      <alignment horizontal="center"/>
    </xf>
    <xf numFmtId="0" fontId="59" fillId="37" borderId="32" xfId="65" applyFont="1" applyFill="1" applyBorder="1" applyAlignment="1">
      <alignment horizontal="center"/>
    </xf>
    <xf numFmtId="0" fontId="58" fillId="37" borderId="32" xfId="65" applyFont="1" applyFill="1" applyBorder="1"/>
    <xf numFmtId="0" fontId="42" fillId="0" borderId="33" xfId="0" applyFont="1" applyBorder="1" applyAlignment="1"/>
    <xf numFmtId="0" fontId="42" fillId="0" borderId="31" xfId="0" applyFont="1" applyBorder="1" applyAlignment="1">
      <alignment horizontal="center"/>
    </xf>
    <xf numFmtId="171" fontId="42" fillId="0" borderId="31" xfId="59" applyNumberFormat="1" applyFont="1" applyBorder="1" applyAlignment="1">
      <alignment horizontal="center"/>
    </xf>
    <xf numFmtId="0" fontId="43" fillId="0" borderId="50" xfId="0" applyFont="1" applyBorder="1" applyAlignment="1"/>
    <xf numFmtId="0" fontId="60" fillId="0" borderId="0" xfId="65" applyFont="1"/>
    <xf numFmtId="0" fontId="40" fillId="0" borderId="41" xfId="68" applyFont="1" applyBorder="1"/>
    <xf numFmtId="171" fontId="48" fillId="0" borderId="0" xfId="59" applyNumberFormat="1" applyFont="1" applyFill="1" applyBorder="1" applyAlignment="1"/>
    <xf numFmtId="171" fontId="43" fillId="0" borderId="0" xfId="59" applyNumberFormat="1" applyFont="1" applyFill="1" applyBorder="1" applyAlignment="1"/>
    <xf numFmtId="0" fontId="42" fillId="0" borderId="12" xfId="65" applyFont="1" applyBorder="1"/>
    <xf numFmtId="0" fontId="41" fillId="0" borderId="33" xfId="65" applyFont="1" applyBorder="1" applyAlignment="1">
      <alignment horizontal="center"/>
    </xf>
    <xf numFmtId="0" fontId="59" fillId="0" borderId="31" xfId="65" applyFont="1" applyBorder="1" applyAlignment="1">
      <alignment horizontal="center"/>
    </xf>
    <xf numFmtId="0" fontId="47" fillId="0" borderId="31" xfId="65" applyFont="1" applyBorder="1" applyAlignment="1">
      <alignment horizontal="center"/>
    </xf>
    <xf numFmtId="168" fontId="43" fillId="0" borderId="31" xfId="69" applyFont="1" applyBorder="1"/>
    <xf numFmtId="171" fontId="43" fillId="0" borderId="0" xfId="59" applyNumberFormat="1" applyFont="1" applyBorder="1" applyAlignment="1"/>
    <xf numFmtId="171" fontId="48" fillId="0" borderId="0" xfId="59" applyNumberFormat="1" applyFont="1" applyBorder="1" applyAlignment="1"/>
    <xf numFmtId="0" fontId="48" fillId="0" borderId="0" xfId="0" applyFont="1" applyAlignment="1"/>
    <xf numFmtId="171" fontId="40" fillId="0" borderId="0" xfId="65" applyNumberFormat="1" applyFont="1"/>
    <xf numFmtId="171" fontId="40" fillId="0" borderId="0" xfId="59" applyNumberFormat="1" applyFont="1" applyBorder="1" applyAlignment="1"/>
    <xf numFmtId="0" fontId="43" fillId="37" borderId="14" xfId="65" applyFont="1" applyFill="1" applyBorder="1"/>
    <xf numFmtId="169" fontId="40" fillId="37" borderId="41" xfId="67" applyNumberFormat="1" applyFont="1" applyFill="1" applyBorder="1"/>
    <xf numFmtId="169" fontId="43" fillId="37" borderId="0" xfId="67" applyNumberFormat="1" applyFont="1" applyFill="1" applyBorder="1"/>
    <xf numFmtId="169" fontId="55" fillId="37" borderId="10" xfId="65" applyNumberFormat="1" applyFont="1" applyFill="1" applyBorder="1"/>
    <xf numFmtId="169" fontId="40" fillId="37" borderId="0" xfId="65" applyNumberFormat="1" applyFont="1" applyFill="1"/>
    <xf numFmtId="0" fontId="42" fillId="0" borderId="34" xfId="0" applyFont="1" applyBorder="1" applyAlignment="1"/>
    <xf numFmtId="171" fontId="42" fillId="0" borderId="32" xfId="0" applyNumberFormat="1" applyFont="1" applyBorder="1" applyAlignment="1"/>
    <xf numFmtId="0" fontId="43" fillId="0" borderId="49" xfId="0" applyFont="1" applyBorder="1" applyAlignment="1"/>
    <xf numFmtId="171" fontId="40" fillId="37" borderId="41" xfId="69" applyNumberFormat="1" applyFont="1" applyFill="1" applyBorder="1"/>
    <xf numFmtId="171" fontId="43" fillId="37" borderId="0" xfId="69" applyNumberFormat="1" applyFont="1" applyFill="1" applyBorder="1"/>
    <xf numFmtId="171" fontId="40" fillId="37" borderId="0" xfId="69" applyNumberFormat="1" applyFont="1" applyFill="1" applyBorder="1"/>
    <xf numFmtId="169" fontId="48" fillId="37" borderId="0" xfId="65" applyNumberFormat="1" applyFont="1" applyFill="1"/>
    <xf numFmtId="169" fontId="54" fillId="0" borderId="10" xfId="67" applyNumberFormat="1" applyFont="1" applyFill="1" applyBorder="1"/>
    <xf numFmtId="0" fontId="43" fillId="0" borderId="13" xfId="65" applyFont="1" applyBorder="1"/>
    <xf numFmtId="168" fontId="40" fillId="0" borderId="34" xfId="69" applyFont="1" applyBorder="1"/>
    <xf numFmtId="168" fontId="43" fillId="0" borderId="32" xfId="69" applyFont="1" applyBorder="1"/>
    <xf numFmtId="168" fontId="43" fillId="0" borderId="32" xfId="65" applyNumberFormat="1" applyFont="1" applyBorder="1"/>
    <xf numFmtId="168" fontId="40" fillId="0" borderId="32" xfId="69" applyFont="1" applyBorder="1"/>
    <xf numFmtId="168" fontId="48" fillId="0" borderId="32" xfId="69" applyFont="1" applyBorder="1"/>
    <xf numFmtId="168" fontId="48" fillId="0" borderId="32" xfId="65" applyNumberFormat="1" applyFont="1" applyBorder="1"/>
    <xf numFmtId="168" fontId="40" fillId="0" borderId="0" xfId="69" applyFont="1" applyBorder="1"/>
    <xf numFmtId="168" fontId="48" fillId="0" borderId="0" xfId="69" applyFont="1" applyBorder="1"/>
    <xf numFmtId="168" fontId="48" fillId="0" borderId="0" xfId="65" applyNumberFormat="1" applyFont="1"/>
    <xf numFmtId="169" fontId="48" fillId="0" borderId="31" xfId="65" applyNumberFormat="1" applyFont="1" applyBorder="1"/>
    <xf numFmtId="169" fontId="48" fillId="0" borderId="0" xfId="65" applyNumberFormat="1" applyFont="1"/>
    <xf numFmtId="171" fontId="40" fillId="0" borderId="34" xfId="69" applyNumberFormat="1" applyFont="1" applyBorder="1"/>
    <xf numFmtId="169" fontId="43" fillId="0" borderId="32" xfId="67" applyNumberFormat="1" applyFont="1" applyBorder="1"/>
    <xf numFmtId="169" fontId="48" fillId="0" borderId="32" xfId="65" applyNumberFormat="1" applyFont="1" applyBorder="1"/>
    <xf numFmtId="171" fontId="40" fillId="0" borderId="32" xfId="69" applyNumberFormat="1" applyFont="1" applyBorder="1"/>
    <xf numFmtId="169" fontId="43" fillId="0" borderId="49" xfId="67" applyNumberFormat="1" applyFont="1" applyBorder="1"/>
    <xf numFmtId="0" fontId="41" fillId="0" borderId="12" xfId="65" applyFont="1" applyBorder="1"/>
    <xf numFmtId="0" fontId="47" fillId="0" borderId="50" xfId="65" applyFont="1" applyBorder="1" applyAlignment="1">
      <alignment horizontal="center"/>
    </xf>
    <xf numFmtId="38" fontId="40" fillId="0" borderId="41" xfId="59" applyNumberFormat="1" applyFont="1" applyBorder="1" applyAlignment="1"/>
    <xf numFmtId="169" fontId="43" fillId="0" borderId="0" xfId="67" applyNumberFormat="1" applyFont="1" applyBorder="1"/>
    <xf numFmtId="169" fontId="43" fillId="0" borderId="51" xfId="67" applyNumberFormat="1" applyFont="1" applyBorder="1"/>
    <xf numFmtId="0" fontId="43" fillId="0" borderId="14" xfId="65" applyFont="1" applyBorder="1" applyAlignment="1">
      <alignment vertical="center"/>
    </xf>
    <xf numFmtId="38" fontId="40" fillId="0" borderId="41" xfId="59" applyNumberFormat="1" applyFont="1" applyFill="1" applyBorder="1" applyAlignment="1"/>
    <xf numFmtId="0" fontId="42" fillId="0" borderId="13" xfId="65" applyFont="1" applyBorder="1" applyAlignment="1">
      <alignment vertical="center"/>
    </xf>
    <xf numFmtId="38" fontId="41" fillId="0" borderId="34" xfId="59" applyNumberFormat="1" applyFont="1" applyBorder="1">
      <alignment vertical="center"/>
    </xf>
    <xf numFmtId="169" fontId="42" fillId="0" borderId="32" xfId="42" applyNumberFormat="1" applyFont="1" applyBorder="1">
      <alignment vertical="center"/>
    </xf>
    <xf numFmtId="38" fontId="42" fillId="0" borderId="32" xfId="59" applyNumberFormat="1" applyFont="1" applyBorder="1">
      <alignment vertical="center"/>
    </xf>
    <xf numFmtId="169" fontId="42" fillId="0" borderId="49" xfId="42" applyNumberFormat="1" applyFont="1" applyBorder="1">
      <alignment vertical="center"/>
    </xf>
    <xf numFmtId="0" fontId="42" fillId="0" borderId="0" xfId="65" applyFont="1" applyAlignment="1">
      <alignment vertical="center"/>
    </xf>
    <xf numFmtId="38" fontId="40" fillId="0" borderId="0" xfId="59" applyNumberFormat="1" applyFont="1">
      <alignment vertical="center"/>
    </xf>
    <xf numFmtId="38" fontId="42" fillId="0" borderId="0" xfId="59" applyNumberFormat="1" applyFont="1" applyBorder="1" applyAlignment="1"/>
    <xf numFmtId="0" fontId="42" fillId="0" borderId="12" xfId="65" applyFont="1" applyBorder="1" applyAlignment="1">
      <alignment vertical="center"/>
    </xf>
    <xf numFmtId="38" fontId="40" fillId="0" borderId="33" xfId="59" applyNumberFormat="1" applyFont="1" applyBorder="1" applyAlignment="1"/>
    <xf numFmtId="38" fontId="43" fillId="0" borderId="31" xfId="59" applyNumberFormat="1" applyFont="1" applyBorder="1" applyAlignment="1"/>
    <xf numFmtId="169" fontId="43" fillId="0" borderId="0" xfId="67" applyNumberFormat="1" applyFont="1" applyFill="1" applyBorder="1"/>
    <xf numFmtId="169" fontId="61" fillId="0" borderId="0" xfId="65" applyNumberFormat="1" applyFont="1" applyAlignment="1">
      <alignment horizontal="right"/>
    </xf>
    <xf numFmtId="169" fontId="43" fillId="0" borderId="31" xfId="67" applyNumberFormat="1" applyFont="1" applyBorder="1"/>
    <xf numFmtId="38" fontId="42" fillId="0" borderId="31" xfId="59" applyNumberFormat="1" applyFont="1" applyBorder="1" applyAlignment="1"/>
    <xf numFmtId="171" fontId="42" fillId="0" borderId="31" xfId="65" applyNumberFormat="1" applyFont="1" applyBorder="1"/>
    <xf numFmtId="38" fontId="40" fillId="0" borderId="0" xfId="59" applyNumberFormat="1" applyFont="1" applyFill="1" applyBorder="1" applyAlignment="1"/>
    <xf numFmtId="169" fontId="48" fillId="0" borderId="0" xfId="65" applyNumberFormat="1" applyFont="1" applyAlignment="1">
      <alignment horizontal="right"/>
    </xf>
    <xf numFmtId="0" fontId="45" fillId="0" borderId="14" xfId="65" applyFont="1" applyBorder="1"/>
    <xf numFmtId="38" fontId="41" fillId="0" borderId="41" xfId="59" applyNumberFormat="1" applyFont="1" applyBorder="1" applyAlignment="1"/>
    <xf numFmtId="169" fontId="42" fillId="0" borderId="0" xfId="67" applyNumberFormat="1" applyFont="1" applyBorder="1"/>
    <xf numFmtId="38" fontId="41" fillId="0" borderId="0" xfId="59" applyNumberFormat="1" applyFont="1" applyFill="1" applyBorder="1" applyAlignment="1"/>
    <xf numFmtId="169" fontId="42" fillId="0" borderId="51" xfId="67" applyNumberFormat="1" applyFont="1" applyBorder="1"/>
    <xf numFmtId="10" fontId="48" fillId="0" borderId="0" xfId="42" applyNumberFormat="1" applyFont="1" applyAlignment="1"/>
    <xf numFmtId="169" fontId="48" fillId="0" borderId="0" xfId="79" applyNumberFormat="1" applyFont="1" applyFill="1" applyAlignment="1"/>
    <xf numFmtId="171" fontId="48" fillId="0" borderId="0" xfId="59" applyNumberFormat="1" applyFont="1" applyAlignment="1"/>
    <xf numFmtId="171" fontId="48" fillId="0" borderId="0" xfId="59" applyNumberFormat="1" applyFont="1" applyFill="1" applyAlignment="1"/>
    <xf numFmtId="169" fontId="40" fillId="0" borderId="0" xfId="79" applyNumberFormat="1" applyFont="1" applyFill="1" applyAlignment="1"/>
    <xf numFmtId="10" fontId="43" fillId="0" borderId="0" xfId="65" applyNumberFormat="1" applyFont="1"/>
    <xf numFmtId="0" fontId="51" fillId="0" borderId="0" xfId="0" applyFont="1" applyAlignment="1"/>
    <xf numFmtId="0" fontId="41" fillId="0" borderId="13" xfId="65" applyFont="1" applyBorder="1"/>
    <xf numFmtId="38" fontId="41" fillId="0" borderId="34" xfId="59" applyNumberFormat="1" applyFont="1" applyBorder="1" applyAlignment="1"/>
    <xf numFmtId="169" fontId="42" fillId="0" borderId="32" xfId="67" applyNumberFormat="1" applyFont="1" applyBorder="1"/>
    <xf numFmtId="38" fontId="42" fillId="0" borderId="32" xfId="59" applyNumberFormat="1" applyFont="1" applyBorder="1" applyAlignment="1"/>
    <xf numFmtId="169" fontId="42" fillId="0" borderId="49" xfId="67" applyNumberFormat="1" applyFont="1" applyBorder="1"/>
    <xf numFmtId="0" fontId="42" fillId="37" borderId="33" xfId="0" applyFont="1" applyFill="1" applyBorder="1">
      <alignment vertical="center"/>
    </xf>
    <xf numFmtId="38" fontId="41" fillId="37" borderId="33" xfId="59" applyNumberFormat="1" applyFont="1" applyFill="1" applyBorder="1" applyAlignment="1"/>
    <xf numFmtId="169" fontId="42" fillId="37" borderId="31" xfId="67" applyNumberFormat="1" applyFont="1" applyFill="1" applyBorder="1"/>
    <xf numFmtId="171" fontId="42" fillId="37" borderId="31" xfId="69" applyNumberFormat="1" applyFont="1" applyFill="1" applyBorder="1"/>
    <xf numFmtId="38" fontId="42" fillId="37" borderId="31" xfId="59" applyNumberFormat="1" applyFont="1" applyFill="1" applyBorder="1" applyAlignment="1"/>
    <xf numFmtId="169" fontId="42" fillId="37" borderId="50" xfId="67" applyNumberFormat="1" applyFont="1" applyFill="1" applyBorder="1"/>
    <xf numFmtId="0" fontId="43" fillId="37" borderId="34" xfId="0" applyFont="1" applyFill="1" applyBorder="1">
      <alignment vertical="center"/>
    </xf>
    <xf numFmtId="38" fontId="41" fillId="37" borderId="34" xfId="59" applyNumberFormat="1" applyFont="1" applyFill="1" applyBorder="1" applyAlignment="1"/>
    <xf numFmtId="169" fontId="42" fillId="37" borderId="32" xfId="67" applyNumberFormat="1" applyFont="1" applyFill="1" applyBorder="1"/>
    <xf numFmtId="171" fontId="42" fillId="37" borderId="32" xfId="69" applyNumberFormat="1" applyFont="1" applyFill="1" applyBorder="1"/>
    <xf numFmtId="38" fontId="42" fillId="37" borderId="32" xfId="59" applyNumberFormat="1" applyFont="1" applyFill="1" applyBorder="1" applyAlignment="1"/>
    <xf numFmtId="169" fontId="42" fillId="37" borderId="49" xfId="67" applyNumberFormat="1" applyFont="1" applyFill="1" applyBorder="1"/>
    <xf numFmtId="10" fontId="48" fillId="0" borderId="10" xfId="67" applyNumberFormat="1" applyFont="1" applyFill="1" applyBorder="1"/>
    <xf numFmtId="0" fontId="40" fillId="0" borderId="0" xfId="68" applyFont="1"/>
    <xf numFmtId="169" fontId="48" fillId="0" borderId="10" xfId="67" applyNumberFormat="1" applyFont="1" applyFill="1" applyBorder="1"/>
    <xf numFmtId="0" fontId="41" fillId="0" borderId="12" xfId="68" applyFont="1" applyBorder="1"/>
    <xf numFmtId="38" fontId="48" fillId="0" borderId="41" xfId="59" applyNumberFormat="1" applyFont="1" applyFill="1" applyBorder="1" applyAlignment="1"/>
    <xf numFmtId="0" fontId="48" fillId="0" borderId="0" xfId="68" applyFont="1"/>
    <xf numFmtId="0" fontId="43" fillId="0" borderId="14" xfId="65" applyFont="1" applyFill="1" applyBorder="1"/>
    <xf numFmtId="169" fontId="48" fillId="0" borderId="16" xfId="67" applyNumberFormat="1" applyFont="1" applyFill="1" applyBorder="1"/>
    <xf numFmtId="0" fontId="40" fillId="0" borderId="0" xfId="68" applyFont="1" applyFill="1"/>
    <xf numFmtId="0" fontId="41" fillId="0" borderId="13" xfId="68" applyFont="1" applyBorder="1"/>
    <xf numFmtId="0" fontId="41" fillId="35" borderId="12" xfId="68" applyFont="1" applyFill="1" applyBorder="1"/>
    <xf numFmtId="38" fontId="41" fillId="37" borderId="31" xfId="59" applyNumberFormat="1" applyFont="1" applyFill="1" applyBorder="1" applyAlignment="1"/>
    <xf numFmtId="0" fontId="43" fillId="37" borderId="13" xfId="0" applyFont="1" applyFill="1" applyBorder="1">
      <alignment vertical="center"/>
    </xf>
    <xf numFmtId="0" fontId="42" fillId="37" borderId="32" xfId="65" applyFont="1" applyFill="1" applyBorder="1"/>
    <xf numFmtId="0" fontId="42" fillId="37" borderId="49" xfId="65" applyFont="1" applyFill="1" applyBorder="1"/>
    <xf numFmtId="171" fontId="42" fillId="37" borderId="31" xfId="65" applyNumberFormat="1" applyFont="1" applyFill="1" applyBorder="1"/>
    <xf numFmtId="169" fontId="56" fillId="37" borderId="34" xfId="67" applyNumberFormat="1" applyFont="1" applyFill="1" applyBorder="1"/>
    <xf numFmtId="169" fontId="54" fillId="37" borderId="32" xfId="67" applyNumberFormat="1" applyFont="1" applyFill="1" applyBorder="1"/>
    <xf numFmtId="0" fontId="54" fillId="37" borderId="32" xfId="65" applyFont="1" applyFill="1" applyBorder="1"/>
    <xf numFmtId="0" fontId="54" fillId="37" borderId="49" xfId="65" applyFont="1" applyFill="1" applyBorder="1"/>
    <xf numFmtId="0" fontId="56" fillId="0" borderId="0" xfId="68" applyFont="1"/>
    <xf numFmtId="0" fontId="54" fillId="0" borderId="0" xfId="65" applyFont="1"/>
    <xf numFmtId="169" fontId="54" fillId="0" borderId="0" xfId="67" applyNumberFormat="1" applyFont="1"/>
    <xf numFmtId="0" fontId="56" fillId="0" borderId="12" xfId="68" applyFont="1" applyBorder="1"/>
    <xf numFmtId="169" fontId="54" fillId="0" borderId="33" xfId="42" applyNumberFormat="1" applyFont="1" applyBorder="1" applyAlignment="1"/>
    <xf numFmtId="0" fontId="54" fillId="0" borderId="31" xfId="65" applyFont="1" applyBorder="1"/>
    <xf numFmtId="169" fontId="54" fillId="0" borderId="31" xfId="42" applyNumberFormat="1" applyFont="1" applyBorder="1" applyAlignment="1"/>
    <xf numFmtId="169" fontId="54" fillId="0" borderId="31" xfId="67" applyNumberFormat="1" applyFont="1" applyBorder="1"/>
    <xf numFmtId="0" fontId="54" fillId="0" borderId="50" xfId="65" applyFont="1" applyBorder="1"/>
    <xf numFmtId="0" fontId="56" fillId="0" borderId="14" xfId="68" applyFont="1" applyBorder="1"/>
    <xf numFmtId="169" fontId="54" fillId="0" borderId="41" xfId="42" applyNumberFormat="1" applyFont="1" applyBorder="1" applyAlignment="1"/>
    <xf numFmtId="169" fontId="54" fillId="0" borderId="0" xfId="42" applyNumberFormat="1" applyFont="1" applyBorder="1" applyAlignment="1"/>
    <xf numFmtId="169" fontId="54" fillId="0" borderId="0" xfId="67" applyNumberFormat="1" applyFont="1" applyBorder="1"/>
    <xf numFmtId="0" fontId="54" fillId="0" borderId="51" xfId="65" applyFont="1" applyBorder="1"/>
    <xf numFmtId="0" fontId="43" fillId="0" borderId="14" xfId="0" applyFont="1" applyBorder="1" applyAlignment="1"/>
    <xf numFmtId="169" fontId="56" fillId="0" borderId="41" xfId="42" applyNumberFormat="1" applyFont="1" applyBorder="1" applyAlignment="1"/>
    <xf numFmtId="169" fontId="56" fillId="0" borderId="0" xfId="42" applyNumberFormat="1" applyFont="1" applyBorder="1" applyAlignment="1"/>
    <xf numFmtId="0" fontId="56" fillId="0" borderId="13" xfId="68" applyFont="1" applyBorder="1"/>
    <xf numFmtId="169" fontId="56" fillId="0" borderId="34" xfId="42" applyNumberFormat="1" applyFont="1" applyBorder="1" applyAlignment="1"/>
    <xf numFmtId="0" fontId="54" fillId="0" borderId="32" xfId="65" applyFont="1" applyBorder="1"/>
    <xf numFmtId="169" fontId="56" fillId="0" borderId="32" xfId="42" applyNumberFormat="1" applyFont="1" applyBorder="1" applyAlignment="1"/>
    <xf numFmtId="169" fontId="54" fillId="0" borderId="32" xfId="67" applyNumberFormat="1" applyFont="1" applyBorder="1"/>
    <xf numFmtId="0" fontId="54" fillId="0" borderId="49" xfId="65" applyFont="1" applyBorder="1"/>
    <xf numFmtId="169" fontId="40" fillId="0" borderId="33" xfId="42" applyNumberFormat="1" applyFont="1" applyBorder="1" applyAlignment="1"/>
    <xf numFmtId="169" fontId="43" fillId="0" borderId="31" xfId="42" applyNumberFormat="1" applyFont="1" applyBorder="1" applyAlignment="1"/>
    <xf numFmtId="38" fontId="43" fillId="0" borderId="14" xfId="70" applyFont="1" applyFill="1" applyBorder="1" applyAlignment="1">
      <alignment vertical="center"/>
    </xf>
    <xf numFmtId="169" fontId="40" fillId="0" borderId="41" xfId="71" applyNumberFormat="1" applyFont="1" applyBorder="1" applyAlignment="1">
      <alignment horizontal="right" shrinkToFit="1"/>
    </xf>
    <xf numFmtId="38" fontId="43" fillId="0" borderId="13" xfId="70" applyFont="1" applyFill="1" applyBorder="1" applyAlignment="1">
      <alignment vertical="center"/>
    </xf>
    <xf numFmtId="38" fontId="40" fillId="0" borderId="34" xfId="65" applyNumberFormat="1" applyFont="1" applyBorder="1"/>
    <xf numFmtId="38" fontId="48" fillId="0" borderId="32" xfId="65" applyNumberFormat="1" applyFont="1" applyBorder="1"/>
    <xf numFmtId="0" fontId="50" fillId="0" borderId="33" xfId="65" applyFont="1" applyBorder="1" applyAlignment="1">
      <alignment horizontal="center"/>
    </xf>
    <xf numFmtId="0" fontId="47" fillId="0" borderId="31" xfId="65" applyFont="1" applyBorder="1"/>
    <xf numFmtId="37" fontId="40" fillId="0" borderId="41" xfId="69" applyNumberFormat="1" applyFont="1" applyBorder="1"/>
    <xf numFmtId="37" fontId="43" fillId="0" borderId="0" xfId="69" applyNumberFormat="1" applyFont="1" applyBorder="1"/>
    <xf numFmtId="171" fontId="40" fillId="0" borderId="41" xfId="65" applyNumberFormat="1" applyFont="1" applyBorder="1"/>
    <xf numFmtId="171" fontId="40" fillId="0" borderId="34" xfId="65" applyNumberFormat="1" applyFont="1" applyBorder="1"/>
    <xf numFmtId="171" fontId="48" fillId="0" borderId="0" xfId="69" applyNumberFormat="1" applyFont="1" applyBorder="1"/>
    <xf numFmtId="169" fontId="43" fillId="0" borderId="32" xfId="65" applyNumberFormat="1" applyFont="1" applyBorder="1"/>
    <xf numFmtId="169" fontId="43" fillId="0" borderId="49" xfId="65" applyNumberFormat="1" applyFont="1" applyBorder="1"/>
  </cellXfs>
  <cellStyles count="12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9" builtinId="3"/>
    <cellStyle name="Comma [0]" xfId="77" builtinId="6"/>
    <cellStyle name="Comma [0] 2" xfId="66" xr:uid="{7088F02E-70D5-47D2-88FD-BC479BF59EB7}"/>
    <cellStyle name="Comma [0] 3" xfId="85" xr:uid="{011416B5-953D-45E8-BF0B-07067796061E}"/>
    <cellStyle name="Comma 2" xfId="61" xr:uid="{6C46C257-9B27-41B8-B6B6-2E79AB74DAF5}"/>
    <cellStyle name="Comma 3" xfId="69" xr:uid="{E1445513-2911-4EE0-BD06-9BBD474B9AD7}"/>
    <cellStyle name="Comma 3 2" xfId="114" xr:uid="{E539BBA6-A710-4FD6-A670-FAB658954F43}"/>
    <cellStyle name="Comma 3 3" xfId="97" xr:uid="{E539BBA6-A710-4FD6-A670-FAB658954F43}"/>
    <cellStyle name="Comma 7" xfId="81" xr:uid="{5CE63113-298B-4A8D-8273-3EBA3A26159B}"/>
    <cellStyle name="Explanatory Text" xfId="16" builtinId="53" customBuiltin="1"/>
    <cellStyle name="Followed Hyperlink" xfId="54" builtinId="9" hidden="1"/>
    <cellStyle name="Followed Hyperlink" xfId="55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7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65" xr:uid="{41A6C185-E0EA-4DFB-8C80-CF1A6CD51333}"/>
    <cellStyle name="Normal 2 2" xfId="68" xr:uid="{87FA108B-0583-4AF0-95C9-908FAF5E4000}"/>
    <cellStyle name="Normal 2 4" xfId="60" xr:uid="{3483AD28-9B85-4BC4-9D80-E72AE766E166}"/>
    <cellStyle name="Normal 3" xfId="73" xr:uid="{E6D1AC54-B931-4CE2-9856-3D642AEF0862}"/>
    <cellStyle name="Normal 4" xfId="83" xr:uid="{75F323EE-2C38-4CC3-8D03-4FB23D1CCFB1}"/>
    <cellStyle name="Normal 44" xfId="80" xr:uid="{3A0A9DA4-2921-462A-81F7-D506363E0A8A}"/>
    <cellStyle name="Normal 6" xfId="96" xr:uid="{0D733D38-229E-4412-9FD3-9E42B3BE5C98}"/>
    <cellStyle name="Normal 7" xfId="82" xr:uid="{E6FF9BC9-2422-45F8-A024-624E18FC39E5}"/>
    <cellStyle name="Normal_Hotel Yihe Longbai_Calculation_22Mar05" xfId="76" xr:uid="{9A5CF394-73D1-4CC9-8C4C-CA0ABB1B176C}"/>
    <cellStyle name="Note" xfId="15" builtinId="10" customBuiltin="1"/>
    <cellStyle name="Output" xfId="10" builtinId="21" customBuiltin="1"/>
    <cellStyle name="Percent" xfId="42" builtinId="5"/>
    <cellStyle name="Percent 2" xfId="67" xr:uid="{02C12D76-B5B2-48F0-B2C9-A54BBCB6686B}"/>
    <cellStyle name="Percent 2 2" xfId="78" xr:uid="{1A630D38-2969-41CA-A685-A53104631CCB}"/>
    <cellStyle name="Percent 3" xfId="62" xr:uid="{C7FC9FA7-0E49-467A-B00B-05C3DA142D23}"/>
    <cellStyle name="Percent 4" xfId="84" xr:uid="{0EAF5FEB-3364-42C6-88C1-25A674B21232}"/>
    <cellStyle name="Percent 6" xfId="79" xr:uid="{B2F32EFD-66DB-4962-9657-44C3928572D2}"/>
    <cellStyle name="Title" xfId="1" builtinId="15" customBuiltin="1"/>
    <cellStyle name="Total" xfId="17" builtinId="25" customBuiltin="1"/>
    <cellStyle name="Warning Text" xfId="14" builtinId="11" customBuiltin="1"/>
    <cellStyle name="パーセント 2" xfId="46" xr:uid="{00000000-0005-0000-0000-00001C000000}"/>
    <cellStyle name="パーセント 2 2" xfId="88" xr:uid="{D0893BA8-F3B4-4F56-9502-A6383D0A1C7B}"/>
    <cellStyle name="パーセント 2 2 2" xfId="108" xr:uid="{ADB6D8E0-A305-4A7D-BCCF-0C53932E33D8}"/>
    <cellStyle name="パーセント 2 3" xfId="91" xr:uid="{A694CDB0-6FC1-4D84-A154-FBC3420AB851}"/>
    <cellStyle name="パーセント 2 3 2" xfId="107" xr:uid="{9F67337A-B0F0-44A8-8656-C419AD74B5B3}"/>
    <cellStyle name="パーセント 2 4" xfId="101" xr:uid="{2DF8C067-496C-4075-A6AA-FB49264B5A31}"/>
    <cellStyle name="パーセント 2 5" xfId="121" xr:uid="{9064853B-04AA-4ED8-9E58-362228AF2E83}"/>
    <cellStyle name="パーセント 3" xfId="110" xr:uid="{4A578543-F96F-41CF-A8D6-F3D494C8A31F}"/>
    <cellStyle name="パーセント 3 2" xfId="71" xr:uid="{0E94462F-FE4A-4A61-B3D9-7704488DD52A}"/>
    <cellStyle name="パーセント 3 2 2" xfId="113" xr:uid="{404FA7C3-8837-4CB6-94EA-D36617AA8692}"/>
    <cellStyle name="パーセント 3 2 3" xfId="95" xr:uid="{404FA7C3-8837-4CB6-94EA-D36617AA8692}"/>
    <cellStyle name="パーセント 4" xfId="94" xr:uid="{00000000-0005-0000-0000-000064000000}"/>
    <cellStyle name="パーセント 5" xfId="74" xr:uid="{EB025421-65F7-449C-AEC1-85AAA37C37AF}"/>
    <cellStyle name="パーセント 6" xfId="122" xr:uid="{D82A6558-55DD-4E66-9CE9-3B48BCDFEE77}"/>
    <cellStyle name="ハイパーリンク 2" xfId="51" xr:uid="{00000000-0005-0000-0000-00001E000000}"/>
    <cellStyle name="桁区切り [0.00] 2" xfId="63" xr:uid="{DCF91FE7-EBDB-41BC-9D2F-16644CA563A3}"/>
    <cellStyle name="桁区切り [0.00] 2 2" xfId="90" xr:uid="{0BEE4AE0-D81D-4544-A2E1-28F2943866D3}"/>
    <cellStyle name="桁区切り [0.00] 2 2 2" xfId="115" xr:uid="{36D96FF9-5CCF-42CD-B667-B6AF8D257BAE}"/>
    <cellStyle name="桁区切り [0.00] 2 3" xfId="100" xr:uid="{36D96FF9-5CCF-42CD-B667-B6AF8D257BAE}"/>
    <cellStyle name="桁区切り [0.00] 3" xfId="109" xr:uid="{7C620FC6-6EBE-4F80-A9DB-05D8FF42725D}"/>
    <cellStyle name="桁区切り [0.00] 3 2" xfId="117" xr:uid="{7C620FC6-6EBE-4F80-A9DB-05D8FF42725D}"/>
    <cellStyle name="桁区切り [0.00] 4" xfId="112" xr:uid="{00000000-0005-0000-0000-000052000000}"/>
    <cellStyle name="桁区切り [0.00] 5" xfId="93" xr:uid="{00000000-0005-0000-0000-00006C000000}"/>
    <cellStyle name="桁区切り [0.00] 6" xfId="124" xr:uid="{EF1C21C5-24BE-4A53-87D4-074AE4B75D94}"/>
    <cellStyle name="桁区切り 2" xfId="45" xr:uid="{00000000-0005-0000-0000-000025000000}"/>
    <cellStyle name="桁区切り 2 2" xfId="86" xr:uid="{FCF2B3B5-BF47-4B82-9872-D6CA86B9F226}"/>
    <cellStyle name="桁区切り 2 2 2" xfId="103" xr:uid="{F7CF9F2B-8ABD-426A-A633-F15CF943BE93}"/>
    <cellStyle name="桁区切り 2 3" xfId="106" xr:uid="{B8073D38-3C5A-44C0-A33E-8DDCAE64702C}"/>
    <cellStyle name="桁区切り 2 3 2" xfId="116" xr:uid="{B8073D38-3C5A-44C0-A33E-8DDCAE64702C}"/>
    <cellStyle name="桁区切り 2 4" xfId="98" xr:uid="{26F21BEC-1DD7-4A11-AACC-FD0C8E6443F0}"/>
    <cellStyle name="桁区切り 25" xfId="58" xr:uid="{042889F6-5D14-41F9-9864-B7DCB003D1D3}"/>
    <cellStyle name="桁区切り 3" xfId="49" xr:uid="{00000000-0005-0000-0000-000026000000}"/>
    <cellStyle name="桁区切り 3 2" xfId="75" xr:uid="{39D66498-9D6E-41B3-9EDE-28A8E546FDB2}"/>
    <cellStyle name="桁区切り 4" xfId="53" xr:uid="{00000000-0005-0000-0000-000027000000}"/>
    <cellStyle name="桁区切り 5" xfId="70" xr:uid="{3A5540F7-13F4-434A-8BCC-1723A24CD003}"/>
    <cellStyle name="桁区切り 6" xfId="104" xr:uid="{00000000-0005-0000-0000-00006B000000}"/>
    <cellStyle name="桁区切り 7" xfId="119" xr:uid="{00000000-0005-0000-0000-00007B000000}"/>
    <cellStyle name="桁区切り 8" xfId="123" xr:uid="{CC99EDA2-6D69-46EE-8312-157E727150D3}"/>
    <cellStyle name="見出し 1 2" xfId="50" xr:uid="{00000000-0005-0000-0000-000029000000}"/>
    <cellStyle name="通貨 2" xfId="47" xr:uid="{00000000-0005-0000-0000-000031000000}"/>
    <cellStyle name="標準 2" xfId="43" xr:uid="{00000000-0005-0000-0000-000034000000}"/>
    <cellStyle name="標準 2 2" xfId="87" xr:uid="{05DAA57D-2A1A-4B24-B7F1-085537FD578F}"/>
    <cellStyle name="標準 2 2 2" xfId="102" xr:uid="{DDDEF348-D01F-461B-8F08-15F6D3990114}"/>
    <cellStyle name="標準 2 3" xfId="99" xr:uid="{7673F027-F613-4CD8-9F39-F310F47B64FA}"/>
    <cellStyle name="標準 2 4" xfId="120" xr:uid="{58CD14F1-B649-45FD-A84D-7BCE6417FFE8}"/>
    <cellStyle name="標準 3" xfId="44" xr:uid="{00000000-0005-0000-0000-000035000000}"/>
    <cellStyle name="標準 3 2" xfId="89" xr:uid="{DCA670D9-447B-42A8-897C-49B8D40DEC3F}"/>
    <cellStyle name="標準 3 2 2" xfId="105" xr:uid="{52C97196-18CA-47C8-9E67-889275712998}"/>
    <cellStyle name="標準 3 3" xfId="118" xr:uid="{D7996D11-DE85-4C80-A806-3848D80B8BB9}"/>
    <cellStyle name="標準 4" xfId="48" xr:uid="{00000000-0005-0000-0000-000036000000}"/>
    <cellStyle name="標準 4 2" xfId="92" xr:uid="{0EF72345-9A70-4B71-890C-8490C4E225E4}"/>
    <cellStyle name="標準 4 2 2" xfId="111" xr:uid="{990F84F4-8782-424E-A732-5FF392B705B1}"/>
    <cellStyle name="標準 5" xfId="52" xr:uid="{00000000-0005-0000-0000-000037000000}"/>
    <cellStyle name="標準 6" xfId="57" xr:uid="{00000000-0005-0000-0000-000038000000}"/>
    <cellStyle name="標準 7" xfId="125" xr:uid="{35857826-437A-4BEB-A98A-BD660AF0FB69}"/>
    <cellStyle name="標準 7 2" xfId="64" xr:uid="{D9983B0A-EB92-441A-8009-D3579ECAC6AB}"/>
  </cellStyles>
  <dxfs count="4"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4"/>
      </font>
      <border>
        <bottom style="thin">
          <color theme="2"/>
        </bottom>
      </border>
    </dxf>
    <dxf>
      <font>
        <b val="0"/>
        <i val="0"/>
        <color theme="3"/>
      </font>
      <border diagonalUp="0" diagonalDown="1">
        <left/>
        <right/>
        <top style="thin">
          <color theme="0" tint="-0.14996795556505021"/>
        </top>
        <bottom style="thin">
          <color theme="0" tint="-0.14996795556505021"/>
        </bottom>
        <diagonal style="thin">
          <color theme="2"/>
        </diagonal>
        <vertical/>
        <horizontal style="thin">
          <color theme="0" tint="-0.14996795556505021"/>
        </horizontal>
      </border>
    </dxf>
  </dxfs>
  <tableStyles count="1" defaultTableStyle="TableStyleMedium2" defaultPivotStyle="PivotStyleLight16">
    <tableStyle name="タスク リスト 2" pivot="0" count="4" xr9:uid="{00000000-0011-0000-FFFF-FFFF00000000}">
      <tableStyleElement type="wholeTable" dxfId="3"/>
      <tableStyleElement type="headerRow" dxfId="2"/>
      <tableStyleElement type="totalRow" dxfId="1"/>
      <tableStyleElement type="firstColumn" dxfId="0"/>
    </tableStyle>
  </tableStyles>
  <colors>
    <mruColors>
      <color rgb="FFBDD7EE"/>
      <color rgb="FFFFFFFF"/>
      <color rgb="FFD9D9D9"/>
      <color rgb="FFCFAFE7"/>
      <color rgb="FFD5B8EA"/>
      <color rgb="FFBF95DF"/>
      <color rgb="FFB9D9A3"/>
      <color rgb="FF532476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5876-8F0A-457D-B34A-354D59797135}">
  <sheetPr>
    <tabColor rgb="FFC00000"/>
    <pageSetUpPr fitToPage="1"/>
  </sheetPr>
  <dimension ref="A1:W158"/>
  <sheetViews>
    <sheetView showGridLines="0" zoomScale="85" zoomScaleNormal="85" workbookViewId="0">
      <pane xSplit="3" ySplit="19" topLeftCell="D20" activePane="bottomRight" state="frozen"/>
      <selection activeCell="C59" sqref="C59"/>
      <selection pane="topRight" activeCell="C59" sqref="C59"/>
      <selection pane="bottomLeft" activeCell="C59" sqref="C59"/>
      <selection pane="bottomRight" activeCell="C59" sqref="C59"/>
    </sheetView>
  </sheetViews>
  <sheetFormatPr defaultColWidth="9" defaultRowHeight="13" customHeight="1"/>
  <cols>
    <col min="1" max="1" width="3.36328125" style="56" customWidth="1"/>
    <col min="2" max="2" width="29.08984375" style="56" customWidth="1"/>
    <col min="3" max="3" width="2" style="56" customWidth="1"/>
    <col min="4" max="4" width="19.6328125" style="1" customWidth="1"/>
    <col min="5" max="6" width="8.90625" style="56" customWidth="1"/>
    <col min="7" max="7" width="18.6328125" style="56" customWidth="1"/>
    <col min="8" max="8" width="8.7265625" style="56" customWidth="1"/>
    <col min="9" max="9" width="9" style="56" customWidth="1"/>
    <col min="10" max="10" width="16.90625" style="56" customWidth="1"/>
    <col min="11" max="12" width="9" style="56" customWidth="1"/>
    <col min="13" max="13" width="16.7265625" style="56" customWidth="1"/>
    <col min="14" max="15" width="9" style="56" customWidth="1"/>
    <col min="16" max="16" width="16.7265625" style="56" customWidth="1"/>
    <col min="17" max="17" width="9" style="56" customWidth="1"/>
    <col min="18" max="18" width="8.26953125" style="56" customWidth="1"/>
    <col min="19" max="19" width="21" style="56" customWidth="1"/>
    <col min="20" max="20" width="15" style="56" customWidth="1"/>
    <col min="21" max="21" width="17.7265625" style="56" customWidth="1"/>
    <col min="22" max="23" width="12.36328125" style="56" customWidth="1"/>
    <col min="24" max="16384" width="9" style="56"/>
  </cols>
  <sheetData>
    <row r="1" spans="1:23" ht="13" customHeight="1">
      <c r="A1" s="55" t="str">
        <f>'Room Types'!A1</f>
        <v>Hotel xxxx</v>
      </c>
      <c r="D1" s="647"/>
      <c r="G1" s="648"/>
      <c r="I1" s="593"/>
      <c r="J1" s="648"/>
      <c r="K1" s="519"/>
      <c r="M1" s="76"/>
      <c r="O1" s="593"/>
      <c r="P1" s="649"/>
      <c r="Q1" s="519"/>
    </row>
    <row r="2" spans="1:23" ht="13" customHeight="1">
      <c r="A2" s="58" t="s">
        <v>26</v>
      </c>
    </row>
    <row r="3" spans="1:23" ht="13" customHeight="1">
      <c r="A3" s="58" t="s">
        <v>27</v>
      </c>
      <c r="D3" s="93"/>
      <c r="E3" s="650"/>
      <c r="F3" s="650"/>
      <c r="G3" s="651"/>
      <c r="H3" s="650"/>
      <c r="I3" s="652"/>
      <c r="J3" s="651"/>
      <c r="K3" s="650"/>
      <c r="L3" s="650"/>
      <c r="M3" s="651"/>
      <c r="N3" s="650"/>
      <c r="O3" s="652"/>
      <c r="P3" s="651"/>
    </row>
    <row r="4" spans="1:23" ht="13" customHeight="1">
      <c r="A4" s="58"/>
      <c r="D4" s="93"/>
      <c r="E4" s="650"/>
      <c r="F4" s="650"/>
      <c r="G4" s="651"/>
      <c r="H4" s="650"/>
      <c r="I4" s="650"/>
      <c r="J4" s="651"/>
      <c r="K4" s="650"/>
      <c r="L4" s="650"/>
      <c r="M4" s="651"/>
      <c r="N4" s="650"/>
      <c r="O4" s="650"/>
      <c r="P4" s="651"/>
    </row>
    <row r="5" spans="1:23" ht="13" customHeight="1">
      <c r="A5" s="58"/>
      <c r="D5" s="653" t="s">
        <v>29</v>
      </c>
      <c r="E5" s="650"/>
      <c r="F5" s="650"/>
      <c r="G5" s="654" t="str">
        <f>D5</f>
        <v>Proforma</v>
      </c>
      <c r="H5" s="650"/>
      <c r="I5" s="650"/>
      <c r="J5" s="654" t="str">
        <f>G5</f>
        <v>Proforma</v>
      </c>
      <c r="K5" s="650"/>
      <c r="L5" s="650"/>
      <c r="M5" s="654" t="str">
        <f>J5</f>
        <v>Proforma</v>
      </c>
      <c r="N5" s="650"/>
      <c r="O5" s="654"/>
      <c r="P5" s="654" t="str">
        <f>M5</f>
        <v>Proforma</v>
      </c>
      <c r="S5" s="368" t="s">
        <v>309</v>
      </c>
      <c r="T5" s="462" t="e">
        <f>#REF!</f>
        <v>#REF!</v>
      </c>
      <c r="U5" s="368"/>
      <c r="V5" s="368"/>
      <c r="W5" s="368"/>
    </row>
    <row r="6" spans="1:23" ht="13" customHeight="1">
      <c r="D6" s="655" t="s">
        <v>30</v>
      </c>
      <c r="E6" s="656"/>
      <c r="F6" s="657"/>
      <c r="G6" s="656" t="s">
        <v>31</v>
      </c>
      <c r="H6" s="656"/>
      <c r="I6" s="657"/>
      <c r="J6" s="656" t="s">
        <v>32</v>
      </c>
      <c r="K6" s="656"/>
      <c r="L6" s="657"/>
      <c r="M6" s="656" t="s">
        <v>33</v>
      </c>
      <c r="N6" s="656"/>
      <c r="O6" s="657"/>
      <c r="P6" s="656" t="s">
        <v>34</v>
      </c>
      <c r="Q6" s="346"/>
      <c r="S6" s="658" t="s">
        <v>310</v>
      </c>
      <c r="T6" s="659" t="s">
        <v>311</v>
      </c>
      <c r="U6" s="660" t="s">
        <v>312</v>
      </c>
      <c r="V6" s="661"/>
      <c r="W6" s="662"/>
    </row>
    <row r="7" spans="1:23" ht="13" customHeight="1">
      <c r="D7" s="663"/>
      <c r="E7" s="664"/>
      <c r="F7" s="665"/>
      <c r="G7" s="664"/>
      <c r="H7" s="664"/>
      <c r="I7" s="665"/>
      <c r="J7" s="664"/>
      <c r="K7" s="664"/>
      <c r="L7" s="665"/>
      <c r="M7" s="664"/>
      <c r="N7" s="664"/>
      <c r="O7" s="665"/>
      <c r="P7" s="664"/>
      <c r="Q7" s="351"/>
      <c r="S7" s="666"/>
      <c r="T7" s="667"/>
      <c r="U7" s="668"/>
      <c r="V7" s="372"/>
      <c r="W7" s="669"/>
    </row>
    <row r="8" spans="1:23" ht="13" customHeight="1">
      <c r="B8" s="670"/>
      <c r="D8" s="653"/>
      <c r="E8" s="654"/>
      <c r="F8" s="650"/>
      <c r="G8" s="654"/>
      <c r="H8" s="654"/>
      <c r="I8" s="650"/>
      <c r="J8" s="654"/>
      <c r="K8" s="654"/>
      <c r="L8" s="650"/>
      <c r="M8" s="654"/>
      <c r="N8" s="654"/>
      <c r="O8" s="650"/>
      <c r="P8" s="654"/>
      <c r="S8" s="671" t="s">
        <v>313</v>
      </c>
      <c r="T8" s="672"/>
      <c r="U8" s="673">
        <f t="shared" ref="U8:U13" si="0">ROUND(T8/$P$11,-4)</f>
        <v>0</v>
      </c>
      <c r="V8" s="368"/>
      <c r="W8" s="384"/>
    </row>
    <row r="9" spans="1:23" ht="13" customHeight="1">
      <c r="B9" s="674" t="s">
        <v>305</v>
      </c>
      <c r="D9" s="675"/>
      <c r="E9" s="676"/>
      <c r="F9" s="677" t="s">
        <v>28</v>
      </c>
      <c r="G9" s="678"/>
      <c r="H9" s="678"/>
      <c r="I9" s="677" t="s">
        <v>28</v>
      </c>
      <c r="J9" s="678"/>
      <c r="K9" s="678"/>
      <c r="L9" s="677" t="s">
        <v>28</v>
      </c>
      <c r="M9" s="678"/>
      <c r="N9" s="678"/>
      <c r="O9" s="677" t="s">
        <v>28</v>
      </c>
      <c r="P9" s="676"/>
      <c r="Q9" s="342"/>
      <c r="S9" s="671" t="s">
        <v>314</v>
      </c>
      <c r="T9" s="672"/>
      <c r="U9" s="679">
        <f t="shared" si="0"/>
        <v>0</v>
      </c>
      <c r="V9" s="368"/>
      <c r="W9" s="384"/>
    </row>
    <row r="10" spans="1:23" ht="13" customHeight="1">
      <c r="B10" s="113" t="s">
        <v>20</v>
      </c>
      <c r="D10" s="592">
        <f>Rooms!S7</f>
        <v>365</v>
      </c>
      <c r="E10" s="59"/>
      <c r="G10" s="131">
        <f>D10</f>
        <v>365</v>
      </c>
      <c r="H10" s="131"/>
      <c r="J10" s="131">
        <f>G10</f>
        <v>365</v>
      </c>
      <c r="K10" s="131"/>
      <c r="M10" s="131">
        <f>J10</f>
        <v>365</v>
      </c>
      <c r="N10" s="131"/>
      <c r="P10" s="131">
        <f>M10</f>
        <v>365</v>
      </c>
      <c r="Q10" s="71"/>
      <c r="R10" s="136"/>
      <c r="S10" s="375" t="s">
        <v>315</v>
      </c>
      <c r="T10" s="680"/>
      <c r="U10" s="679">
        <f t="shared" si="0"/>
        <v>0</v>
      </c>
      <c r="V10" s="681"/>
      <c r="W10" s="384"/>
    </row>
    <row r="11" spans="1:23" ht="13" customHeight="1">
      <c r="B11" s="113" t="s">
        <v>3</v>
      </c>
      <c r="D11" s="592">
        <f>Rooms!G8</f>
        <v>207</v>
      </c>
      <c r="E11" s="59"/>
      <c r="G11" s="131">
        <f>D11</f>
        <v>207</v>
      </c>
      <c r="H11" s="131"/>
      <c r="J11" s="131">
        <f>G11</f>
        <v>207</v>
      </c>
      <c r="K11" s="131"/>
      <c r="M11" s="682">
        <f>J11</f>
        <v>207</v>
      </c>
      <c r="N11" s="682"/>
      <c r="O11" s="1"/>
      <c r="P11" s="682">
        <f>M11</f>
        <v>207</v>
      </c>
      <c r="Q11" s="71"/>
      <c r="S11" s="671" t="s">
        <v>354</v>
      </c>
      <c r="T11" s="683"/>
      <c r="U11" s="679">
        <f t="shared" si="0"/>
        <v>0</v>
      </c>
      <c r="V11" s="681">
        <v>0</v>
      </c>
      <c r="W11" s="384" t="s">
        <v>316</v>
      </c>
    </row>
    <row r="12" spans="1:23" ht="13" customHeight="1">
      <c r="B12" s="113" t="s">
        <v>21</v>
      </c>
      <c r="D12" s="592">
        <f>Rooms!S9</f>
        <v>75555</v>
      </c>
      <c r="E12" s="59"/>
      <c r="G12" s="59">
        <f>G10*G11</f>
        <v>75555</v>
      </c>
      <c r="H12" s="59"/>
      <c r="J12" s="59">
        <f>J10*J11</f>
        <v>75555</v>
      </c>
      <c r="K12" s="59"/>
      <c r="M12" s="59">
        <f>M10*M11</f>
        <v>75555</v>
      </c>
      <c r="N12" s="59"/>
      <c r="P12" s="59">
        <f>P10*P11</f>
        <v>75555</v>
      </c>
      <c r="Q12" s="71"/>
      <c r="R12" s="136"/>
      <c r="S12" s="375" t="s">
        <v>317</v>
      </c>
      <c r="T12" s="683">
        <f>ROUND((($S$54+$S$82)/12)*V12,-6)</f>
        <v>72000000</v>
      </c>
      <c r="U12" s="679">
        <f t="shared" si="0"/>
        <v>350000</v>
      </c>
      <c r="V12" s="681">
        <v>1</v>
      </c>
      <c r="W12" s="384" t="s">
        <v>316</v>
      </c>
    </row>
    <row r="13" spans="1:23" ht="13" customHeight="1">
      <c r="B13" s="113" t="s">
        <v>22</v>
      </c>
      <c r="D13" s="592">
        <f>Rooms!S10</f>
        <v>65060.15040584415</v>
      </c>
      <c r="E13" s="131"/>
      <c r="G13" s="59">
        <f>G12*G14</f>
        <v>67326.800405844158</v>
      </c>
      <c r="H13" s="131"/>
      <c r="J13" s="59">
        <f>J12*J14</f>
        <v>69593.450405844153</v>
      </c>
      <c r="K13" s="131"/>
      <c r="M13" s="59">
        <f>M12*M14</f>
        <v>71104.550405844158</v>
      </c>
      <c r="N13" s="131"/>
      <c r="P13" s="59">
        <f>P12*P14</f>
        <v>72237.875405844155</v>
      </c>
      <c r="Q13" s="71"/>
      <c r="R13" s="136"/>
      <c r="S13" s="375" t="s">
        <v>365</v>
      </c>
      <c r="T13" s="672"/>
      <c r="U13" s="679">
        <f t="shared" si="0"/>
        <v>0</v>
      </c>
      <c r="V13" s="368"/>
      <c r="W13" s="384"/>
    </row>
    <row r="14" spans="1:23" ht="13" customHeight="1">
      <c r="B14" s="684" t="s">
        <v>23</v>
      </c>
      <c r="D14" s="685">
        <f>D13/D12</f>
        <v>0.86109655755203696</v>
      </c>
      <c r="E14" s="686"/>
      <c r="F14" s="687">
        <v>0.03</v>
      </c>
      <c r="G14" s="688">
        <f>D14+F14</f>
        <v>0.89109655755203698</v>
      </c>
      <c r="H14" s="688"/>
      <c r="I14" s="687">
        <v>0.03</v>
      </c>
      <c r="J14" s="688">
        <f>G14+I14</f>
        <v>0.92109655755203701</v>
      </c>
      <c r="K14" s="688"/>
      <c r="L14" s="687">
        <v>0.02</v>
      </c>
      <c r="M14" s="688">
        <f>J14+L14</f>
        <v>0.94109655755203703</v>
      </c>
      <c r="N14" s="688"/>
      <c r="O14" s="687">
        <v>1.4999999999999999E-2</v>
      </c>
      <c r="P14" s="688">
        <f>M14+O14</f>
        <v>0.95609655755203704</v>
      </c>
      <c r="Q14" s="489"/>
      <c r="R14" s="136"/>
      <c r="S14" s="689" t="s">
        <v>318</v>
      </c>
      <c r="T14" s="690">
        <f>SUM(T8:T13)</f>
        <v>72000000</v>
      </c>
      <c r="U14" s="690">
        <f>SUM(U8:U13)</f>
        <v>350000</v>
      </c>
      <c r="V14" s="386"/>
      <c r="W14" s="691"/>
    </row>
    <row r="15" spans="1:23" ht="13" customHeight="1">
      <c r="B15" s="684" t="s">
        <v>0</v>
      </c>
      <c r="D15" s="692">
        <f>Rooms!S12</f>
        <v>10000</v>
      </c>
      <c r="E15" s="693"/>
      <c r="F15" s="687">
        <v>0.03</v>
      </c>
      <c r="G15" s="694">
        <f>D15*(1+F15)</f>
        <v>10300</v>
      </c>
      <c r="H15" s="694"/>
      <c r="I15" s="687">
        <v>0.03</v>
      </c>
      <c r="J15" s="694">
        <f>G15*(1+I15)</f>
        <v>10609</v>
      </c>
      <c r="K15" s="694"/>
      <c r="L15" s="687">
        <v>0.02</v>
      </c>
      <c r="M15" s="694">
        <f>J15*(1+L15)</f>
        <v>10821.18</v>
      </c>
      <c r="N15" s="694"/>
      <c r="O15" s="687">
        <v>0.02</v>
      </c>
      <c r="P15" s="694">
        <f>M15*(1+O15)</f>
        <v>11037.6036</v>
      </c>
      <c r="Q15" s="489"/>
      <c r="R15" s="136"/>
    </row>
    <row r="16" spans="1:23" ht="13" customHeight="1">
      <c r="B16" s="684" t="s">
        <v>24</v>
      </c>
      <c r="D16" s="692">
        <f>D14*D15</f>
        <v>8610.9655755203694</v>
      </c>
      <c r="E16" s="693"/>
      <c r="F16" s="439"/>
      <c r="G16" s="693">
        <f>G14*G15</f>
        <v>9178.2945427859813</v>
      </c>
      <c r="H16" s="693"/>
      <c r="I16" s="695"/>
      <c r="J16" s="693">
        <f>J14*J15</f>
        <v>9771.9133790695614</v>
      </c>
      <c r="K16" s="693"/>
      <c r="L16" s="439"/>
      <c r="M16" s="693">
        <f>M14*M15</f>
        <v>10183.775246650952</v>
      </c>
      <c r="N16" s="693"/>
      <c r="O16" s="439"/>
      <c r="P16" s="693">
        <f>P14*P15</f>
        <v>10553.014805583971</v>
      </c>
      <c r="Q16" s="489"/>
      <c r="R16" s="136"/>
    </row>
    <row r="17" spans="2:19" ht="13" customHeight="1">
      <c r="B17" s="113" t="s">
        <v>4</v>
      </c>
      <c r="D17" s="592">
        <f>Rooms!S14</f>
        <v>130120.3008116883</v>
      </c>
      <c r="E17" s="463"/>
      <c r="F17" s="696">
        <f>G17/D17-1</f>
        <v>3.4839298493174242E-2</v>
      </c>
      <c r="G17" s="59">
        <f>G18*G13</f>
        <v>134653.60081168832</v>
      </c>
      <c r="H17" s="59"/>
      <c r="I17" s="696">
        <f>J17/G17-1</f>
        <v>3.366638524832144E-2</v>
      </c>
      <c r="J17" s="59">
        <f>J18*J13</f>
        <v>139186.90081168831</v>
      </c>
      <c r="K17" s="59"/>
      <c r="L17" s="696">
        <f>M17/J17-1</f>
        <v>2.1713250186444322E-2</v>
      </c>
      <c r="M17" s="59">
        <f>M18*M13</f>
        <v>142209.10081168832</v>
      </c>
      <c r="N17" s="59"/>
      <c r="O17" s="696">
        <f>P17/M17-1</f>
        <v>1.5938853329798164E-2</v>
      </c>
      <c r="P17" s="59">
        <f>P18*P13</f>
        <v>144475.75081168831</v>
      </c>
      <c r="Q17" s="71"/>
      <c r="R17" s="136"/>
    </row>
    <row r="18" spans="2:19" ht="13" customHeight="1">
      <c r="B18" s="697" t="s">
        <v>25</v>
      </c>
      <c r="D18" s="698">
        <f>D17/D13</f>
        <v>2</v>
      </c>
      <c r="E18" s="699"/>
      <c r="F18" s="700"/>
      <c r="G18" s="701">
        <f>D18</f>
        <v>2</v>
      </c>
      <c r="H18" s="702"/>
      <c r="I18" s="703"/>
      <c r="J18" s="701">
        <f>G18</f>
        <v>2</v>
      </c>
      <c r="K18" s="702"/>
      <c r="L18" s="703"/>
      <c r="M18" s="701">
        <f>J18</f>
        <v>2</v>
      </c>
      <c r="N18" s="702"/>
      <c r="O18" s="703"/>
      <c r="P18" s="701">
        <f>M18</f>
        <v>2</v>
      </c>
      <c r="Q18" s="419"/>
      <c r="R18" s="136"/>
    </row>
    <row r="19" spans="2:19" ht="13" customHeight="1">
      <c r="D19" s="704"/>
      <c r="E19" s="463"/>
      <c r="F19" s="539"/>
      <c r="G19" s="705"/>
      <c r="H19" s="705"/>
      <c r="I19" s="706"/>
      <c r="J19" s="705"/>
      <c r="K19" s="705"/>
      <c r="L19" s="706"/>
      <c r="M19" s="705"/>
      <c r="N19" s="705"/>
      <c r="O19" s="706"/>
      <c r="P19" s="705"/>
      <c r="R19" s="136"/>
    </row>
    <row r="20" spans="2:19" ht="13" customHeight="1">
      <c r="D20" s="704"/>
      <c r="E20" s="463"/>
      <c r="F20" s="539"/>
      <c r="G20" s="463"/>
      <c r="H20" s="463"/>
      <c r="I20" s="539"/>
      <c r="J20" s="463"/>
      <c r="K20" s="463"/>
      <c r="L20" s="539"/>
      <c r="M20" s="463"/>
      <c r="N20" s="463"/>
      <c r="O20" s="539"/>
      <c r="P20" s="463"/>
      <c r="R20" s="136"/>
    </row>
    <row r="21" spans="2:19" ht="13" customHeight="1">
      <c r="B21" s="103" t="s">
        <v>36</v>
      </c>
      <c r="D21" s="591">
        <f>Staffing!C51</f>
        <v>20</v>
      </c>
      <c r="E21" s="63"/>
      <c r="F21" s="707"/>
      <c r="G21" s="40">
        <f>Staffing!E51</f>
        <v>20</v>
      </c>
      <c r="H21" s="63"/>
      <c r="I21" s="707"/>
      <c r="J21" s="40">
        <f>Staffing!G51</f>
        <v>20</v>
      </c>
      <c r="K21" s="63"/>
      <c r="L21" s="707"/>
      <c r="M21" s="40">
        <f>Staffing!I51</f>
        <v>20</v>
      </c>
      <c r="N21" s="63"/>
      <c r="O21" s="707"/>
      <c r="P21" s="40">
        <f>Staffing!K51</f>
        <v>20</v>
      </c>
      <c r="Q21" s="342"/>
      <c r="R21" s="136"/>
      <c r="S21" s="136"/>
    </row>
    <row r="22" spans="2:19" ht="13" customHeight="1">
      <c r="B22" s="113" t="s">
        <v>37</v>
      </c>
      <c r="D22" s="592">
        <f>Staffing!C52</f>
        <v>28</v>
      </c>
      <c r="E22" s="59"/>
      <c r="F22" s="708"/>
      <c r="G22" s="28">
        <f>Staffing!E52</f>
        <v>28</v>
      </c>
      <c r="H22" s="59"/>
      <c r="I22" s="708"/>
      <c r="J22" s="28">
        <f>Staffing!G52</f>
        <v>28</v>
      </c>
      <c r="K22" s="59"/>
      <c r="L22" s="708"/>
      <c r="M22" s="28">
        <f>Staffing!I52</f>
        <v>28</v>
      </c>
      <c r="N22" s="59"/>
      <c r="O22" s="708"/>
      <c r="P22" s="28">
        <f>Staffing!K52</f>
        <v>28</v>
      </c>
      <c r="Q22" s="71"/>
      <c r="R22" s="136"/>
    </row>
    <row r="23" spans="2:19" ht="13" customHeight="1">
      <c r="B23" s="113" t="s">
        <v>38</v>
      </c>
      <c r="D23" s="592">
        <f>SUM(D21:D22)</f>
        <v>48</v>
      </c>
      <c r="E23" s="59"/>
      <c r="F23" s="708"/>
      <c r="G23" s="59">
        <f>G21+G22</f>
        <v>48</v>
      </c>
      <c r="H23" s="59"/>
      <c r="I23" s="708"/>
      <c r="J23" s="59">
        <f>J21+J22</f>
        <v>48</v>
      </c>
      <c r="K23" s="59"/>
      <c r="L23" s="708"/>
      <c r="M23" s="59">
        <f>M21+M22</f>
        <v>48</v>
      </c>
      <c r="N23" s="59"/>
      <c r="O23" s="708"/>
      <c r="P23" s="59">
        <f>P21+P22</f>
        <v>48</v>
      </c>
      <c r="Q23" s="71"/>
      <c r="R23" s="136"/>
    </row>
    <row r="24" spans="2:19" ht="13" customHeight="1">
      <c r="B24" s="697" t="s">
        <v>275</v>
      </c>
      <c r="D24" s="709">
        <f>Staffing!D21</f>
        <v>189631360</v>
      </c>
      <c r="E24" s="710">
        <f>D24/D30</f>
        <v>0.15297631420766333</v>
      </c>
      <c r="F24" s="711"/>
      <c r="G24" s="712">
        <f>Staffing!F21</f>
        <v>189631360</v>
      </c>
      <c r="H24" s="710">
        <f>G24/G30</f>
        <v>0.14553467073624937</v>
      </c>
      <c r="I24" s="711"/>
      <c r="J24" s="712">
        <f>Staffing!H21</f>
        <v>189631360</v>
      </c>
      <c r="K24" s="710">
        <f>J24/J30</f>
        <v>0.13858199077662989</v>
      </c>
      <c r="L24" s="711"/>
      <c r="M24" s="712">
        <f>Staffing!J21</f>
        <v>189631360</v>
      </c>
      <c r="N24" s="710">
        <f>M24/M30</f>
        <v>0.13418881602977709</v>
      </c>
      <c r="O24" s="711"/>
      <c r="P24" s="712">
        <f>Staffing!L21</f>
        <v>189631360</v>
      </c>
      <c r="Q24" s="713">
        <f>P24/P30</f>
        <v>0.13066072488059793</v>
      </c>
    </row>
    <row r="25" spans="2:19" ht="13" customHeight="1">
      <c r="D25" s="38"/>
      <c r="E25" s="136"/>
      <c r="J25" s="136"/>
    </row>
    <row r="26" spans="2:19" ht="13" customHeight="1">
      <c r="B26" s="714" t="s">
        <v>39</v>
      </c>
      <c r="D26" s="15"/>
      <c r="E26" s="677" t="s">
        <v>40</v>
      </c>
      <c r="F26" s="677" t="s">
        <v>28</v>
      </c>
      <c r="G26" s="85"/>
      <c r="H26" s="677" t="s">
        <v>40</v>
      </c>
      <c r="I26" s="677" t="s">
        <v>28</v>
      </c>
      <c r="J26" s="85"/>
      <c r="K26" s="677" t="s">
        <v>40</v>
      </c>
      <c r="L26" s="677" t="s">
        <v>28</v>
      </c>
      <c r="M26" s="85"/>
      <c r="N26" s="677" t="s">
        <v>40</v>
      </c>
      <c r="O26" s="677" t="s">
        <v>28</v>
      </c>
      <c r="P26" s="85"/>
      <c r="Q26" s="715" t="s">
        <v>40</v>
      </c>
    </row>
    <row r="27" spans="2:19" ht="13" customHeight="1">
      <c r="B27" s="113" t="s">
        <v>41</v>
      </c>
      <c r="D27" s="716">
        <f>Rooms!G192</f>
        <v>650601504.05844152</v>
      </c>
      <c r="E27" s="717">
        <f>D27/D$30</f>
        <v>0.5248426215411971</v>
      </c>
      <c r="G27" s="381">
        <f>G13*G15</f>
        <v>693466044.18019485</v>
      </c>
      <c r="H27" s="717">
        <f>G27/G$30</f>
        <v>0.53220813480710161</v>
      </c>
      <c r="J27" s="381">
        <f>J13*J15</f>
        <v>738316915.3556006</v>
      </c>
      <c r="K27" s="717">
        <f>J27/J$30</f>
        <v>0.53955963799468432</v>
      </c>
      <c r="M27" s="381">
        <f>M13*M15</f>
        <v>769435138.76071274</v>
      </c>
      <c r="N27" s="717">
        <f>M27/M$30</f>
        <v>0.54447529291572494</v>
      </c>
      <c r="P27" s="381">
        <f>P13*P15</f>
        <v>797333033.63589692</v>
      </c>
      <c r="Q27" s="718">
        <f>P27/P$30</f>
        <v>0.54938229703205455</v>
      </c>
    </row>
    <row r="28" spans="2:19" ht="13" customHeight="1">
      <c r="B28" s="719" t="s">
        <v>308</v>
      </c>
      <c r="D28" s="720">
        <f>Restaurant!E175</f>
        <v>569365037.8003248</v>
      </c>
      <c r="E28" s="717">
        <f>D28/D$30</f>
        <v>0.4593088660092961</v>
      </c>
      <c r="F28" s="708">
        <f>F17</f>
        <v>3.4839298493174242E-2</v>
      </c>
      <c r="G28" s="381">
        <f>D28*(1+F28)</f>
        <v>589201316.30382776</v>
      </c>
      <c r="H28" s="717">
        <f>G28/G$30</f>
        <v>0.4521890238283493</v>
      </c>
      <c r="I28" s="708">
        <f>I17</f>
        <v>3.366638524832144E-2</v>
      </c>
      <c r="J28" s="381">
        <f>G28*(1+I28)</f>
        <v>609037594.80733049</v>
      </c>
      <c r="K28" s="717">
        <f>J28/J$30</f>
        <v>0.44508272443023306</v>
      </c>
      <c r="L28" s="708">
        <f>L17</f>
        <v>2.1713250186444322E-2</v>
      </c>
      <c r="M28" s="381">
        <f>J28*(1+L28)</f>
        <v>622261780.47633231</v>
      </c>
      <c r="N28" s="717">
        <f>M28/M$30</f>
        <v>0.44033102743501967</v>
      </c>
      <c r="O28" s="708">
        <f>O17</f>
        <v>1.5938853329798164E-2</v>
      </c>
      <c r="P28" s="381">
        <f>M28*(1+O28)</f>
        <v>632179919.72808361</v>
      </c>
      <c r="Q28" s="718">
        <f>P28/P$30</f>
        <v>0.43558769270351494</v>
      </c>
    </row>
    <row r="29" spans="2:19" ht="13" customHeight="1">
      <c r="B29" s="719" t="s">
        <v>306</v>
      </c>
      <c r="D29" s="720">
        <f>MOD!E102</f>
        <v>19646015.040584415</v>
      </c>
      <c r="E29" s="717">
        <f>D29/D$30</f>
        <v>1.5848512449506882E-2</v>
      </c>
      <c r="F29" s="708">
        <f>F17</f>
        <v>3.4839298493174242E-2</v>
      </c>
      <c r="G29" s="381">
        <f>D29*(1+F29)</f>
        <v>20330468.422784727</v>
      </c>
      <c r="H29" s="717">
        <f>G29/G$30</f>
        <v>1.5602841364549039E-2</v>
      </c>
      <c r="I29" s="708">
        <f>I17</f>
        <v>3.366638524832144E-2</v>
      </c>
      <c r="J29" s="381">
        <f>G29*(1+I29)</f>
        <v>21014921.804985031</v>
      </c>
      <c r="K29" s="717">
        <f>J29/J$30</f>
        <v>1.5357637575082695E-2</v>
      </c>
      <c r="L29" s="708">
        <f>L17</f>
        <v>2.1713250186444322E-2</v>
      </c>
      <c r="M29" s="381">
        <f>J29*(1+L29)</f>
        <v>21471224.059785236</v>
      </c>
      <c r="N29" s="717">
        <f>M29/M$30</f>
        <v>1.5193679649255505E-2</v>
      </c>
      <c r="O29" s="708">
        <f>O17</f>
        <v>1.5938853329798164E-2</v>
      </c>
      <c r="P29" s="381">
        <f>M29*(1+O29)</f>
        <v>21813450.750885386</v>
      </c>
      <c r="Q29" s="718">
        <f>P29/P$30</f>
        <v>1.503001026443046E-2</v>
      </c>
    </row>
    <row r="30" spans="2:19" ht="13" customHeight="1">
      <c r="B30" s="721" t="s">
        <v>6</v>
      </c>
      <c r="D30" s="722">
        <f>D27+D28+D29</f>
        <v>1239612556.8993506</v>
      </c>
      <c r="E30" s="723">
        <f>E27+E28+E29</f>
        <v>1</v>
      </c>
      <c r="F30" s="363"/>
      <c r="G30" s="724">
        <f>G27+G28+G29</f>
        <v>1302997828.9068074</v>
      </c>
      <c r="H30" s="723">
        <f>H27+H28+H29</f>
        <v>1</v>
      </c>
      <c r="I30" s="363"/>
      <c r="J30" s="724">
        <f>J27+J28+J29</f>
        <v>1368369431.967916</v>
      </c>
      <c r="K30" s="723">
        <f>K27+K28+K29</f>
        <v>1.0000000000000002</v>
      </c>
      <c r="L30" s="363"/>
      <c r="M30" s="724">
        <f>M27+M28+M29</f>
        <v>1413168143.2968302</v>
      </c>
      <c r="N30" s="723">
        <f>N27+N28+N29</f>
        <v>1.0000000000000002</v>
      </c>
      <c r="O30" s="363"/>
      <c r="P30" s="724">
        <f>P27+P28+P29</f>
        <v>1451326404.114866</v>
      </c>
      <c r="Q30" s="725">
        <f>Q27+Q28+Q29</f>
        <v>1</v>
      </c>
    </row>
    <row r="31" spans="2:19" ht="13" customHeight="1">
      <c r="B31" s="726"/>
      <c r="D31" s="727"/>
      <c r="E31" s="492"/>
      <c r="F31" s="58"/>
      <c r="G31" s="728"/>
      <c r="H31" s="358"/>
      <c r="I31" s="58"/>
      <c r="J31" s="728"/>
      <c r="K31" s="358"/>
      <c r="L31" s="58"/>
      <c r="M31" s="728"/>
      <c r="N31" s="358"/>
      <c r="O31" s="58"/>
      <c r="P31" s="728"/>
      <c r="Q31" s="358"/>
      <c r="R31" s="358"/>
    </row>
    <row r="32" spans="2:19" ht="13" customHeight="1">
      <c r="B32" s="729" t="s">
        <v>7</v>
      </c>
      <c r="D32" s="730"/>
      <c r="E32" s="126"/>
      <c r="F32" s="85"/>
      <c r="G32" s="731"/>
      <c r="H32" s="126"/>
      <c r="I32" s="85"/>
      <c r="J32" s="731"/>
      <c r="K32" s="126"/>
      <c r="L32" s="85"/>
      <c r="M32" s="731"/>
      <c r="N32" s="126"/>
      <c r="O32" s="85"/>
      <c r="P32" s="731"/>
      <c r="Q32" s="342"/>
    </row>
    <row r="33" spans="2:18" ht="13" customHeight="1">
      <c r="B33" s="113" t="s">
        <v>41</v>
      </c>
      <c r="D33" s="716">
        <f>Rooms!G193</f>
        <v>0</v>
      </c>
      <c r="E33" s="732">
        <f>IFERROR(D33/D27,0)</f>
        <v>0</v>
      </c>
      <c r="G33" s="381">
        <f>D33</f>
        <v>0</v>
      </c>
      <c r="H33" s="732">
        <f>IFERROR(G33/G27,0)</f>
        <v>0</v>
      </c>
      <c r="J33" s="381">
        <f>G33</f>
        <v>0</v>
      </c>
      <c r="K33" s="732">
        <f>IFERROR(J33/J27,0)</f>
        <v>0</v>
      </c>
      <c r="M33" s="381">
        <f>J33</f>
        <v>0</v>
      </c>
      <c r="N33" s="732">
        <f>IFERROR(M33/M27,0)</f>
        <v>0</v>
      </c>
      <c r="P33" s="381">
        <f>M33</f>
        <v>0</v>
      </c>
      <c r="Q33" s="641">
        <f>IFERROR(P33/P27,0)</f>
        <v>0</v>
      </c>
    </row>
    <row r="34" spans="2:18" ht="13" customHeight="1">
      <c r="B34" s="719" t="s">
        <v>308</v>
      </c>
      <c r="D34" s="716">
        <f>Restaurant!E177</f>
        <v>199277763.23011366</v>
      </c>
      <c r="E34" s="732">
        <f>IFERROR(D34/D28,0)</f>
        <v>0.35</v>
      </c>
      <c r="F34" s="708">
        <f>F22</f>
        <v>0</v>
      </c>
      <c r="G34" s="381">
        <f>G28*(E34+F34)</f>
        <v>206220460.70633972</v>
      </c>
      <c r="H34" s="732">
        <f>IFERROR(G34/G28,0)</f>
        <v>0.35</v>
      </c>
      <c r="I34" s="708">
        <f>I22</f>
        <v>0</v>
      </c>
      <c r="J34" s="381">
        <f>J28*(H34+I34)</f>
        <v>213163158.18256566</v>
      </c>
      <c r="K34" s="732">
        <f>IFERROR(J34/J28,0)</f>
        <v>0.35</v>
      </c>
      <c r="L34" s="708">
        <f>L22</f>
        <v>0</v>
      </c>
      <c r="M34" s="381">
        <f>M28*(K34+L34)</f>
        <v>217791623.16671631</v>
      </c>
      <c r="N34" s="732">
        <f>IFERROR(M34/M28,0)</f>
        <v>0.35</v>
      </c>
      <c r="O34" s="708">
        <f>O22</f>
        <v>0</v>
      </c>
      <c r="P34" s="381">
        <f>P28*(N34+O34)</f>
        <v>221262971.90482926</v>
      </c>
      <c r="Q34" s="641">
        <f>IFERROR(P34/P28,0)</f>
        <v>0.35</v>
      </c>
    </row>
    <row r="35" spans="2:18" ht="13" customHeight="1">
      <c r="B35" s="719" t="s">
        <v>306</v>
      </c>
      <c r="D35" s="720">
        <f>MOD!E104</f>
        <v>9823007.5202922076</v>
      </c>
      <c r="E35" s="732">
        <f>IFERROR(D35/D29,0)</f>
        <v>0.5</v>
      </c>
      <c r="F35" s="708">
        <f>F23</f>
        <v>0</v>
      </c>
      <c r="G35" s="381">
        <f>G29*(E35+F35)</f>
        <v>10165234.211392364</v>
      </c>
      <c r="H35" s="732">
        <f>IFERROR(G35/G29,0)</f>
        <v>0.5</v>
      </c>
      <c r="I35" s="708">
        <f>I23</f>
        <v>0</v>
      </c>
      <c r="J35" s="381">
        <f>J29*(H35+I35)</f>
        <v>10507460.902492516</v>
      </c>
      <c r="K35" s="732">
        <f>IFERROR(J35/J29,0)</f>
        <v>0.5</v>
      </c>
      <c r="L35" s="708">
        <f>L23</f>
        <v>0</v>
      </c>
      <c r="M35" s="381">
        <f>M29*(K35+L35)</f>
        <v>10735612.029892618</v>
      </c>
      <c r="N35" s="732">
        <f>IFERROR(M35/M29,0)</f>
        <v>0.5</v>
      </c>
      <c r="O35" s="708">
        <f>O23</f>
        <v>0</v>
      </c>
      <c r="P35" s="381">
        <f>P29*(N35+O35)</f>
        <v>10906725.375442693</v>
      </c>
      <c r="Q35" s="718">
        <f>IFERROR(P35/P29,0)</f>
        <v>0.5</v>
      </c>
    </row>
    <row r="36" spans="2:18" ht="13" customHeight="1">
      <c r="B36" s="721" t="s">
        <v>6</v>
      </c>
      <c r="D36" s="722">
        <f>D33+D34+D35</f>
        <v>209100770.75040585</v>
      </c>
      <c r="E36" s="723">
        <f>D36/D$30</f>
        <v>0.16868235932800704</v>
      </c>
      <c r="F36" s="363"/>
      <c r="G36" s="724">
        <f>G33+G34+G35</f>
        <v>216385694.91773209</v>
      </c>
      <c r="H36" s="723">
        <f>G36/G$30</f>
        <v>0.16606757902219679</v>
      </c>
      <c r="I36" s="363"/>
      <c r="J36" s="724">
        <f>J33+J34+J35</f>
        <v>223670619.08505818</v>
      </c>
      <c r="K36" s="723">
        <f>J36/J$30</f>
        <v>0.16345777233812292</v>
      </c>
      <c r="L36" s="363"/>
      <c r="M36" s="724">
        <f>M33+M34+M35</f>
        <v>228527235.19660893</v>
      </c>
      <c r="N36" s="723">
        <f>M36/M$30</f>
        <v>0.16171269942688463</v>
      </c>
      <c r="O36" s="363"/>
      <c r="P36" s="724">
        <f>P33+P34+P35</f>
        <v>232169697.28027195</v>
      </c>
      <c r="Q36" s="725">
        <f>P36/P$30</f>
        <v>0.15997069757844545</v>
      </c>
    </row>
    <row r="37" spans="2:18" ht="13" customHeight="1">
      <c r="B37" s="5"/>
      <c r="D37" s="727"/>
      <c r="E37" s="131"/>
      <c r="G37" s="381"/>
      <c r="H37" s="131"/>
      <c r="J37" s="381"/>
      <c r="K37" s="131"/>
      <c r="M37" s="381"/>
      <c r="N37" s="131"/>
      <c r="P37" s="381"/>
      <c r="Q37" s="492"/>
      <c r="R37" s="492"/>
    </row>
    <row r="38" spans="2:18" ht="13" customHeight="1">
      <c r="B38" s="729" t="s">
        <v>8</v>
      </c>
      <c r="D38" s="730"/>
      <c r="E38" s="126"/>
      <c r="F38" s="85"/>
      <c r="G38" s="731"/>
      <c r="H38" s="126"/>
      <c r="I38" s="85"/>
      <c r="J38" s="731"/>
      <c r="K38" s="126"/>
      <c r="L38" s="85"/>
      <c r="M38" s="731"/>
      <c r="N38" s="126"/>
      <c r="O38" s="85"/>
      <c r="P38" s="731"/>
      <c r="Q38" s="342"/>
    </row>
    <row r="39" spans="2:18" ht="13" customHeight="1">
      <c r="B39" s="113" t="s">
        <v>41</v>
      </c>
      <c r="D39" s="716">
        <f>Rooms!G169</f>
        <v>55306560</v>
      </c>
      <c r="E39" s="732">
        <f>IFERROR(D39/D27,0)</f>
        <v>8.5008349435097497E-2</v>
      </c>
      <c r="F39" s="733" t="s">
        <v>42</v>
      </c>
      <c r="G39" s="381">
        <f>Rooms!H169</f>
        <v>55306560</v>
      </c>
      <c r="H39" s="732">
        <f>IFERROR(G39/G27,0)</f>
        <v>7.975381125601122E-2</v>
      </c>
      <c r="I39" s="733" t="s">
        <v>42</v>
      </c>
      <c r="J39" s="381">
        <f>Rooms!I169</f>
        <v>55306560</v>
      </c>
      <c r="K39" s="732">
        <f>IFERROR(J39/J27,0)</f>
        <v>7.4908970456626103E-2</v>
      </c>
      <c r="L39" s="733" t="s">
        <v>42</v>
      </c>
      <c r="M39" s="381">
        <f>Rooms!J169</f>
        <v>55306560</v>
      </c>
      <c r="N39" s="732">
        <f>IFERROR(M39/M27,0)</f>
        <v>7.1879431044804196E-2</v>
      </c>
      <c r="O39" s="733" t="s">
        <v>42</v>
      </c>
      <c r="P39" s="381">
        <f>Rooms!K169</f>
        <v>55306560</v>
      </c>
      <c r="Q39" s="641">
        <f>IFERROR(P39/P27,0)</f>
        <v>6.9364440788058215E-2</v>
      </c>
    </row>
    <row r="40" spans="2:18" ht="13" customHeight="1">
      <c r="B40" s="719" t="s">
        <v>308</v>
      </c>
      <c r="D40" s="716">
        <f>Restaurant!E164</f>
        <v>124460800</v>
      </c>
      <c r="E40" s="732">
        <f>IFERROR(D40/D28,0)</f>
        <v>0.21859578958490275</v>
      </c>
      <c r="F40" s="733" t="s">
        <v>42</v>
      </c>
      <c r="G40" s="381">
        <f>Restaurant!F164</f>
        <v>124460800</v>
      </c>
      <c r="H40" s="732">
        <f>IFERROR(G40/G28,0)</f>
        <v>0.21123645951907633</v>
      </c>
      <c r="I40" s="733" t="s">
        <v>42</v>
      </c>
      <c r="J40" s="381">
        <f>Restaurant!G164</f>
        <v>124460800</v>
      </c>
      <c r="K40" s="732">
        <f>IFERROR(J40/J28,0)</f>
        <v>0.20435651437802171</v>
      </c>
      <c r="L40" s="733" t="s">
        <v>42</v>
      </c>
      <c r="M40" s="381">
        <f>Restaurant!H164</f>
        <v>124460800</v>
      </c>
      <c r="N40" s="732">
        <f>IFERROR(M40/M28,0)</f>
        <v>0.20001356969847492</v>
      </c>
      <c r="O40" s="733" t="s">
        <v>42</v>
      </c>
      <c r="P40" s="381">
        <f>Restaurant!I164</f>
        <v>124460800</v>
      </c>
      <c r="Q40" s="641">
        <f>IFERROR(P40/P28,0)</f>
        <v>0.19687559841118285</v>
      </c>
    </row>
    <row r="41" spans="2:18" ht="13" customHeight="1">
      <c r="B41" s="719" t="s">
        <v>306</v>
      </c>
      <c r="D41" s="720">
        <f>MOD!E91</f>
        <v>0</v>
      </c>
      <c r="E41" s="732">
        <f>IFERROR(D41/D29,0)</f>
        <v>0</v>
      </c>
      <c r="F41" s="733" t="s">
        <v>42</v>
      </c>
      <c r="G41" s="29">
        <f>MOD!F81</f>
        <v>0</v>
      </c>
      <c r="H41" s="732">
        <f>IFERROR(G41/G29,0)</f>
        <v>0</v>
      </c>
      <c r="I41" s="733" t="s">
        <v>42</v>
      </c>
      <c r="J41" s="29">
        <f>MOD!G91</f>
        <v>0</v>
      </c>
      <c r="K41" s="732">
        <f>IFERROR(J41/J29,0)</f>
        <v>0</v>
      </c>
      <c r="L41" s="733" t="s">
        <v>42</v>
      </c>
      <c r="M41" s="29">
        <f>MOD!H91</f>
        <v>0</v>
      </c>
      <c r="N41" s="732">
        <f>IFERROR(M41/M29,0)</f>
        <v>0</v>
      </c>
      <c r="O41" s="733" t="s">
        <v>42</v>
      </c>
      <c r="P41" s="29">
        <f>MOD!I91</f>
        <v>0</v>
      </c>
      <c r="Q41" s="718">
        <f>IFERROR(P41/P29,0)</f>
        <v>0</v>
      </c>
    </row>
    <row r="42" spans="2:18" ht="13" customHeight="1">
      <c r="B42" s="721" t="s">
        <v>6</v>
      </c>
      <c r="D42" s="722">
        <f>D39+D40+D41</f>
        <v>179767360</v>
      </c>
      <c r="E42" s="723">
        <f>D42/D$30</f>
        <v>0.14501898919905509</v>
      </c>
      <c r="F42" s="363"/>
      <c r="G42" s="724">
        <f>G39+G40+G41</f>
        <v>179767360</v>
      </c>
      <c r="H42" s="723">
        <f>G42/G$30</f>
        <v>0.13796443555920709</v>
      </c>
      <c r="I42" s="363"/>
      <c r="J42" s="724">
        <f>J39+J40+J41</f>
        <v>179767360</v>
      </c>
      <c r="K42" s="723">
        <f>J42/J$30</f>
        <v>0.13137341115656767</v>
      </c>
      <c r="L42" s="363"/>
      <c r="M42" s="724">
        <f>M39+M40+M41</f>
        <v>179767360</v>
      </c>
      <c r="N42" s="723">
        <f>M42/M$30</f>
        <v>0.12720875491901079</v>
      </c>
      <c r="O42" s="363"/>
      <c r="P42" s="724">
        <f>P39+P40+P41</f>
        <v>179767360</v>
      </c>
      <c r="Q42" s="725">
        <f>P42/P$30</f>
        <v>0.12386418347403828</v>
      </c>
    </row>
    <row r="43" spans="2:18" ht="13" customHeight="1">
      <c r="B43" s="5"/>
      <c r="D43" s="727"/>
      <c r="E43" s="732"/>
      <c r="G43" s="381"/>
      <c r="H43" s="732"/>
      <c r="J43" s="381"/>
      <c r="K43" s="732"/>
      <c r="M43" s="381"/>
      <c r="N43" s="732"/>
      <c r="P43" s="381"/>
      <c r="Q43" s="492"/>
      <c r="R43" s="492"/>
    </row>
    <row r="44" spans="2:18" ht="13" customHeight="1">
      <c r="B44" s="729" t="s">
        <v>9</v>
      </c>
      <c r="D44" s="730"/>
      <c r="E44" s="734"/>
      <c r="F44" s="85"/>
      <c r="G44" s="731"/>
      <c r="H44" s="126"/>
      <c r="I44" s="85"/>
      <c r="J44" s="731"/>
      <c r="K44" s="126"/>
      <c r="L44" s="85"/>
      <c r="M44" s="731"/>
      <c r="N44" s="126"/>
      <c r="O44" s="85"/>
      <c r="P44" s="731"/>
      <c r="Q44" s="342"/>
    </row>
    <row r="45" spans="2:18" ht="13" customHeight="1">
      <c r="B45" s="113" t="s">
        <v>41</v>
      </c>
      <c r="D45" s="716">
        <f>Rooms!G195</f>
        <v>237469548.37256494</v>
      </c>
      <c r="E45" s="717">
        <f>IFERROR(D45/D27,0)</f>
        <v>0.36499999906430247</v>
      </c>
      <c r="F45" s="708">
        <f>F33</f>
        <v>0</v>
      </c>
      <c r="G45" s="381">
        <f>G27*(E45+F45)</f>
        <v>253115105.47689664</v>
      </c>
      <c r="H45" s="717">
        <f>IFERROR(G45/G27,0)</f>
        <v>0.36499999906430247</v>
      </c>
      <c r="I45" s="708">
        <f>I33</f>
        <v>0</v>
      </c>
      <c r="J45" s="381">
        <f>J27*(H45+I45)</f>
        <v>269485673.41395289</v>
      </c>
      <c r="K45" s="717">
        <f>IFERROR(J45/J27,0)</f>
        <v>0.36499999906430247</v>
      </c>
      <c r="L45" s="708">
        <f>L33</f>
        <v>0</v>
      </c>
      <c r="M45" s="381">
        <f>M27*(K45+L45)</f>
        <v>280843824.92770159</v>
      </c>
      <c r="N45" s="717">
        <f>IFERROR(M45/M27,0)</f>
        <v>0.36499999906430247</v>
      </c>
      <c r="O45" s="708">
        <f>O33</f>
        <v>0</v>
      </c>
      <c r="P45" s="381">
        <f>P27*(N45+O45)</f>
        <v>291026556.53103983</v>
      </c>
      <c r="Q45" s="718">
        <f>IFERROR(P45/P27,0)</f>
        <v>0.36499999906430247</v>
      </c>
    </row>
    <row r="46" spans="2:18" ht="13" customHeight="1">
      <c r="B46" s="719" t="s">
        <v>308</v>
      </c>
      <c r="D46" s="716">
        <f>Restaurant!E178</f>
        <v>28468251.890016243</v>
      </c>
      <c r="E46" s="717">
        <f>IFERROR(D46/D28,0)</f>
        <v>0.05</v>
      </c>
      <c r="F46" s="708">
        <f>F34</f>
        <v>0</v>
      </c>
      <c r="G46" s="381">
        <f>G28*(E46+F46)</f>
        <v>29460065.815191388</v>
      </c>
      <c r="H46" s="717">
        <f>IFERROR(G46/G28,0)</f>
        <v>0.05</v>
      </c>
      <c r="I46" s="708">
        <f>I34</f>
        <v>0</v>
      </c>
      <c r="J46" s="381">
        <f>J28*(H46+I46)</f>
        <v>30451879.740366526</v>
      </c>
      <c r="K46" s="717">
        <f>IFERROR(J46/J28,0)</f>
        <v>0.05</v>
      </c>
      <c r="L46" s="708">
        <f>L34</f>
        <v>0</v>
      </c>
      <c r="M46" s="381">
        <f>M28*(K46+L46)</f>
        <v>31113089.023816615</v>
      </c>
      <c r="N46" s="717">
        <f>IFERROR(M46/M28,0)</f>
        <v>0.05</v>
      </c>
      <c r="O46" s="708">
        <f>O34</f>
        <v>0</v>
      </c>
      <c r="P46" s="381">
        <f>P28*(N46+O46)</f>
        <v>31608995.986404181</v>
      </c>
      <c r="Q46" s="718">
        <f>IFERROR(P46/P28,0)</f>
        <v>0.05</v>
      </c>
    </row>
    <row r="47" spans="2:18" ht="13" customHeight="1">
      <c r="B47" s="719" t="s">
        <v>306</v>
      </c>
      <c r="D47" s="720">
        <f>MOD!E105</f>
        <v>0</v>
      </c>
      <c r="E47" s="717">
        <f>IFERROR(D47/D29,0)</f>
        <v>0</v>
      </c>
      <c r="F47" s="708">
        <f>F35</f>
        <v>0</v>
      </c>
      <c r="G47" s="381">
        <f>G29*(E47+F47)</f>
        <v>0</v>
      </c>
      <c r="H47" s="717">
        <f>IFERROR(G47/G29,0)</f>
        <v>0</v>
      </c>
      <c r="I47" s="708">
        <f>I35</f>
        <v>0</v>
      </c>
      <c r="J47" s="381">
        <f>J29*(H47+I47)</f>
        <v>0</v>
      </c>
      <c r="K47" s="717">
        <f>IFERROR(J47/J29,0)</f>
        <v>0</v>
      </c>
      <c r="L47" s="708">
        <f>L35</f>
        <v>0</v>
      </c>
      <c r="M47" s="381">
        <f>M29*(K47+L47)</f>
        <v>0</v>
      </c>
      <c r="N47" s="717">
        <f>IFERROR(M47/M29,0)</f>
        <v>0</v>
      </c>
      <c r="O47" s="708">
        <f>O35</f>
        <v>0</v>
      </c>
      <c r="P47" s="381">
        <f>P29*(N47+O47)</f>
        <v>0</v>
      </c>
      <c r="Q47" s="718">
        <f>IFERROR(P47/P29,0)</f>
        <v>0</v>
      </c>
    </row>
    <row r="48" spans="2:18" ht="13" customHeight="1">
      <c r="B48" s="721" t="s">
        <v>6</v>
      </c>
      <c r="D48" s="722">
        <f>D45+D46+D47</f>
        <v>265937800.26258117</v>
      </c>
      <c r="E48" s="723">
        <f>D48/D$30</f>
        <v>0.21453299967190778</v>
      </c>
      <c r="F48" s="363"/>
      <c r="G48" s="724">
        <f>G45+G46+G47</f>
        <v>282575171.29208803</v>
      </c>
      <c r="H48" s="723">
        <f>G48/G$30</f>
        <v>0.21686541989802369</v>
      </c>
      <c r="I48" s="363"/>
      <c r="J48" s="724">
        <f>J45+J46+J47</f>
        <v>299937553.15431941</v>
      </c>
      <c r="K48" s="723">
        <f>J48/J$30</f>
        <v>0.21919340358470679</v>
      </c>
      <c r="L48" s="363"/>
      <c r="M48" s="724">
        <f>M45+M46+M47</f>
        <v>311956913.95151818</v>
      </c>
      <c r="N48" s="723">
        <f>M48/M$30</f>
        <v>0.22075003277652638</v>
      </c>
      <c r="O48" s="363"/>
      <c r="P48" s="724">
        <f>P45+P46+P47</f>
        <v>322635552.51744401</v>
      </c>
      <c r="Q48" s="725">
        <f>P48/P$30</f>
        <v>0.22230392253782</v>
      </c>
    </row>
    <row r="49" spans="2:20" ht="13" customHeight="1">
      <c r="B49" s="5"/>
      <c r="D49" s="727"/>
      <c r="E49" s="717"/>
      <c r="F49" s="58"/>
      <c r="G49" s="728"/>
      <c r="H49" s="358"/>
      <c r="I49" s="58"/>
      <c r="J49" s="728"/>
      <c r="K49" s="358"/>
      <c r="L49" s="58"/>
      <c r="M49" s="728"/>
      <c r="N49" s="358"/>
      <c r="O49" s="58"/>
      <c r="P49" s="728"/>
      <c r="Q49" s="492"/>
      <c r="R49" s="492"/>
    </row>
    <row r="50" spans="2:20" ht="13" customHeight="1">
      <c r="B50" s="729" t="s">
        <v>10</v>
      </c>
      <c r="D50" s="730"/>
      <c r="E50" s="734"/>
      <c r="F50" s="389"/>
      <c r="G50" s="735"/>
      <c r="H50" s="736"/>
      <c r="I50" s="389"/>
      <c r="J50" s="735"/>
      <c r="K50" s="736"/>
      <c r="L50" s="389"/>
      <c r="M50" s="735"/>
      <c r="N50" s="736"/>
      <c r="O50" s="389"/>
      <c r="P50" s="735"/>
      <c r="Q50" s="342"/>
    </row>
    <row r="51" spans="2:20" ht="13" customHeight="1">
      <c r="B51" s="113" t="s">
        <v>41</v>
      </c>
      <c r="D51" s="716">
        <f>D33+D39+D45</f>
        <v>292776108.37256491</v>
      </c>
      <c r="E51" s="717">
        <f>IFERROR(D51/D27,0)</f>
        <v>0.45000834849939991</v>
      </c>
      <c r="F51" s="58"/>
      <c r="G51" s="381">
        <f>G33+G39+G45</f>
        <v>308421665.47689664</v>
      </c>
      <c r="H51" s="717">
        <f>IFERROR(G51/G27,0)</f>
        <v>0.44475381032031369</v>
      </c>
      <c r="I51" s="58"/>
      <c r="J51" s="381">
        <f>J33+J39+J45</f>
        <v>324792233.41395289</v>
      </c>
      <c r="K51" s="717">
        <f>IFERROR(J51/J27,0)</f>
        <v>0.43990896952092856</v>
      </c>
      <c r="L51" s="58"/>
      <c r="M51" s="381">
        <f>M33+M39+M45</f>
        <v>336150384.92770159</v>
      </c>
      <c r="N51" s="717">
        <f>IFERROR(M51/M27,0)</f>
        <v>0.43687943010910668</v>
      </c>
      <c r="O51" s="58"/>
      <c r="P51" s="381">
        <f>P33+P39+P45</f>
        <v>346333116.53103983</v>
      </c>
      <c r="Q51" s="718">
        <f>IFERROR(P51/P27,0)</f>
        <v>0.43436443985236067</v>
      </c>
    </row>
    <row r="52" spans="2:20" ht="13" customHeight="1">
      <c r="B52" s="719" t="s">
        <v>308</v>
      </c>
      <c r="D52" s="716">
        <f>D34+D40+D46</f>
        <v>352206815.12012988</v>
      </c>
      <c r="E52" s="717">
        <f>IFERROR(D52/D28,0)</f>
        <v>0.61859578958490269</v>
      </c>
      <c r="F52" s="58"/>
      <c r="G52" s="381">
        <f>G34+G40+G46</f>
        <v>360141326.52153111</v>
      </c>
      <c r="H52" s="717">
        <f>IFERROR(G52/G28,0)</f>
        <v>0.61123645951907635</v>
      </c>
      <c r="I52" s="58"/>
      <c r="J52" s="381">
        <f>J34+J40+J46</f>
        <v>368075837.92293221</v>
      </c>
      <c r="K52" s="717">
        <f>IFERROR(J52/J28,0)</f>
        <v>0.60435651437802174</v>
      </c>
      <c r="L52" s="58"/>
      <c r="M52" s="381">
        <f>M34+M40+M46</f>
        <v>373365512.19053292</v>
      </c>
      <c r="N52" s="717">
        <f>IFERROR(M52/M28,0)</f>
        <v>0.60001356969847497</v>
      </c>
      <c r="O52" s="58"/>
      <c r="P52" s="381">
        <f>P34+P40+P46</f>
        <v>377332767.89123344</v>
      </c>
      <c r="Q52" s="718">
        <f>IFERROR(P52/P28,0)</f>
        <v>0.59687559841118287</v>
      </c>
    </row>
    <row r="53" spans="2:20" ht="13" customHeight="1">
      <c r="B53" s="719" t="s">
        <v>306</v>
      </c>
      <c r="D53" s="716">
        <f>D35+D41+D47</f>
        <v>9823007.5202922076</v>
      </c>
      <c r="E53" s="717">
        <f>IFERROR(D53/D29,0)</f>
        <v>0.5</v>
      </c>
      <c r="F53" s="708"/>
      <c r="G53" s="29">
        <f>G35+G41+G47</f>
        <v>10165234.211392364</v>
      </c>
      <c r="H53" s="717">
        <f>IFERROR(G53/G29,0)</f>
        <v>0.5</v>
      </c>
      <c r="I53" s="708"/>
      <c r="J53" s="29">
        <f>J35+J41+J47</f>
        <v>10507460.902492516</v>
      </c>
      <c r="K53" s="717">
        <f>IFERROR(J53/J29,0)</f>
        <v>0.5</v>
      </c>
      <c r="L53" s="708"/>
      <c r="M53" s="29">
        <f>M35+M41+M47</f>
        <v>10735612.029892618</v>
      </c>
      <c r="N53" s="717">
        <f>IFERROR(M53/M29,0)</f>
        <v>0.5</v>
      </c>
      <c r="O53" s="708"/>
      <c r="P53" s="29">
        <f>P35+P41+P47</f>
        <v>10906725.375442693</v>
      </c>
      <c r="Q53" s="718">
        <f>IFERROR(P53/P29,0)</f>
        <v>0.5</v>
      </c>
    </row>
    <row r="54" spans="2:20" s="58" customFormat="1" ht="13" customHeight="1">
      <c r="B54" s="721" t="s">
        <v>6</v>
      </c>
      <c r="D54" s="722">
        <f>D51+D52+D53</f>
        <v>654805931.01298702</v>
      </c>
      <c r="E54" s="723">
        <f>D54/D$30</f>
        <v>0.52823434819896997</v>
      </c>
      <c r="F54" s="363"/>
      <c r="G54" s="724">
        <f>G51+G52+G53</f>
        <v>678728226.20982015</v>
      </c>
      <c r="H54" s="723">
        <f>G54/G$30</f>
        <v>0.5208974344794276</v>
      </c>
      <c r="I54" s="363"/>
      <c r="J54" s="724">
        <f>J51+J52+J53</f>
        <v>703375532.23937762</v>
      </c>
      <c r="K54" s="723">
        <f>J54/J$30</f>
        <v>0.51402458707939747</v>
      </c>
      <c r="L54" s="363"/>
      <c r="M54" s="724">
        <f>M51+M52+M53</f>
        <v>720251509.14812708</v>
      </c>
      <c r="N54" s="723">
        <f>M54/M$30</f>
        <v>0.50967148712242183</v>
      </c>
      <c r="O54" s="363"/>
      <c r="P54" s="724">
        <f>P51+P52+P53</f>
        <v>734572609.79771602</v>
      </c>
      <c r="Q54" s="725">
        <f>P54/P$30</f>
        <v>0.50613880359030383</v>
      </c>
      <c r="S54" s="131">
        <f>D54</f>
        <v>654805931.01298702</v>
      </c>
      <c r="T54" s="368" t="s">
        <v>319</v>
      </c>
    </row>
    <row r="55" spans="2:20" ht="13" customHeight="1">
      <c r="B55" s="5"/>
      <c r="D55" s="727"/>
      <c r="E55" s="717"/>
      <c r="F55" s="58"/>
      <c r="G55" s="381"/>
      <c r="H55" s="717"/>
      <c r="I55" s="58"/>
      <c r="J55" s="381"/>
      <c r="K55" s="717"/>
      <c r="L55" s="58"/>
      <c r="M55" s="381"/>
      <c r="N55" s="717"/>
      <c r="O55" s="58"/>
      <c r="P55" s="381"/>
      <c r="Q55" s="492"/>
      <c r="R55" s="492"/>
      <c r="T55" s="368"/>
    </row>
    <row r="56" spans="2:20" ht="13" customHeight="1">
      <c r="B56" s="729" t="s">
        <v>11</v>
      </c>
      <c r="D56" s="730"/>
      <c r="E56" s="734"/>
      <c r="F56" s="389"/>
      <c r="G56" s="735"/>
      <c r="H56" s="736"/>
      <c r="I56" s="389"/>
      <c r="J56" s="735"/>
      <c r="K56" s="736"/>
      <c r="L56" s="389"/>
      <c r="M56" s="735"/>
      <c r="N56" s="736"/>
      <c r="O56" s="389"/>
      <c r="P56" s="735"/>
      <c r="Q56" s="342"/>
      <c r="T56" s="368"/>
    </row>
    <row r="57" spans="2:20" ht="13" customHeight="1">
      <c r="B57" s="113" t="s">
        <v>41</v>
      </c>
      <c r="D57" s="716">
        <f>D27-D51</f>
        <v>357825395.68587661</v>
      </c>
      <c r="E57" s="717">
        <f>IFERROR(D57/D27,0)</f>
        <v>0.54999165150060003</v>
      </c>
      <c r="F57" s="58"/>
      <c r="G57" s="381">
        <f>G27-G51</f>
        <v>385044378.70329821</v>
      </c>
      <c r="H57" s="717">
        <f>IFERROR(G57/G27,0)</f>
        <v>0.55524618967968631</v>
      </c>
      <c r="I57" s="58"/>
      <c r="J57" s="381">
        <f>J27-J51</f>
        <v>413524681.94164771</v>
      </c>
      <c r="K57" s="717">
        <f>IFERROR(J57/J27,0)</f>
        <v>0.56009103047907149</v>
      </c>
      <c r="L57" s="58"/>
      <c r="M57" s="381">
        <f>M27-M51</f>
        <v>433284753.83301115</v>
      </c>
      <c r="N57" s="717">
        <f>IFERROR(M57/M27,0)</f>
        <v>0.56312056989089332</v>
      </c>
      <c r="O57" s="58"/>
      <c r="P57" s="381">
        <f>P27-P51</f>
        <v>450999917.10485709</v>
      </c>
      <c r="Q57" s="718">
        <f>IFERROR(P57/P27,0)</f>
        <v>0.56563556014763927</v>
      </c>
      <c r="T57" s="368"/>
    </row>
    <row r="58" spans="2:20" ht="13" customHeight="1">
      <c r="B58" s="719" t="s">
        <v>308</v>
      </c>
      <c r="D58" s="716">
        <f>D28-D52</f>
        <v>217158222.68019491</v>
      </c>
      <c r="E58" s="717">
        <f>IFERROR(D58/D28,0)</f>
        <v>0.38140421041509731</v>
      </c>
      <c r="F58" s="58"/>
      <c r="G58" s="381">
        <f>G28-G52</f>
        <v>229059989.78229666</v>
      </c>
      <c r="H58" s="717">
        <f>IFERROR(G58/G28,0)</f>
        <v>0.38876354048092365</v>
      </c>
      <c r="I58" s="58"/>
      <c r="J58" s="381">
        <f>J28-J52</f>
        <v>240961756.88439828</v>
      </c>
      <c r="K58" s="717">
        <f>IFERROR(J58/J28,0)</f>
        <v>0.39564348562197826</v>
      </c>
      <c r="L58" s="58"/>
      <c r="M58" s="381">
        <f>M28-M52</f>
        <v>248896268.28579938</v>
      </c>
      <c r="N58" s="717">
        <f>IFERROR(M58/M28,0)</f>
        <v>0.39998643030152509</v>
      </c>
      <c r="O58" s="58"/>
      <c r="P58" s="381">
        <f>P28-P52</f>
        <v>254847151.83685017</v>
      </c>
      <c r="Q58" s="718">
        <f>IFERROR(P58/P28,0)</f>
        <v>0.40312440158881713</v>
      </c>
      <c r="T58" s="368"/>
    </row>
    <row r="59" spans="2:20" ht="13" customHeight="1">
      <c r="B59" s="719" t="s">
        <v>306</v>
      </c>
      <c r="D59" s="716">
        <f>D29-D53</f>
        <v>9823007.5202922076</v>
      </c>
      <c r="E59" s="717">
        <f>IFERROR(D59/D29,0)</f>
        <v>0.5</v>
      </c>
      <c r="F59" s="708"/>
      <c r="G59" s="29">
        <f>G29-G53</f>
        <v>10165234.211392364</v>
      </c>
      <c r="H59" s="717">
        <f>IFERROR(G59/G29,0)</f>
        <v>0.5</v>
      </c>
      <c r="I59" s="708"/>
      <c r="J59" s="29">
        <f>J29-J53</f>
        <v>10507460.902492516</v>
      </c>
      <c r="K59" s="717">
        <f>IFERROR(J59/J29,0)</f>
        <v>0.5</v>
      </c>
      <c r="L59" s="708"/>
      <c r="M59" s="29">
        <f>M29-M53</f>
        <v>10735612.029892618</v>
      </c>
      <c r="N59" s="717">
        <f>IFERROR(M59/M29,0)</f>
        <v>0.5</v>
      </c>
      <c r="O59" s="708"/>
      <c r="P59" s="29">
        <f>P29-P53</f>
        <v>10906725.375442693</v>
      </c>
      <c r="Q59" s="718">
        <f>IFERROR(P59/P29,0)</f>
        <v>0.5</v>
      </c>
      <c r="T59" s="368"/>
    </row>
    <row r="60" spans="2:20" s="58" customFormat="1" ht="13" customHeight="1">
      <c r="B60" s="721" t="s">
        <v>6</v>
      </c>
      <c r="D60" s="722">
        <f>D57+D58+D59</f>
        <v>584806625.88636363</v>
      </c>
      <c r="E60" s="723">
        <f>D60/D$30</f>
        <v>0.47176565180103008</v>
      </c>
      <c r="F60" s="4"/>
      <c r="G60" s="724">
        <f>G57+G58+G59</f>
        <v>624269602.69698727</v>
      </c>
      <c r="H60" s="723">
        <f>G60/G$30</f>
        <v>0.4791025655205724</v>
      </c>
      <c r="I60" s="363"/>
      <c r="J60" s="724">
        <f>J57+J58+J59</f>
        <v>664993899.72853851</v>
      </c>
      <c r="K60" s="723">
        <f>J60/J$30</f>
        <v>0.4859754129206027</v>
      </c>
      <c r="L60" s="363"/>
      <c r="M60" s="724">
        <f>M57+M58+M59</f>
        <v>692916634.1487031</v>
      </c>
      <c r="N60" s="723">
        <f>M60/M$30</f>
        <v>0.49032851287757823</v>
      </c>
      <c r="O60" s="363"/>
      <c r="P60" s="724">
        <f>P57+P58+P59</f>
        <v>716753794.31715</v>
      </c>
      <c r="Q60" s="725">
        <f>P60/P$30</f>
        <v>0.49386119640969622</v>
      </c>
      <c r="T60" s="368"/>
    </row>
    <row r="61" spans="2:20" ht="13" customHeight="1">
      <c r="D61" s="727"/>
      <c r="E61" s="717"/>
      <c r="G61" s="381"/>
      <c r="J61" s="381"/>
      <c r="M61" s="381"/>
      <c r="P61" s="381"/>
      <c r="T61" s="368"/>
    </row>
    <row r="62" spans="2:20" ht="13" customHeight="1">
      <c r="B62" s="714" t="s">
        <v>43</v>
      </c>
      <c r="D62" s="730"/>
      <c r="E62" s="85"/>
      <c r="F62" s="677"/>
      <c r="G62" s="731"/>
      <c r="H62" s="85"/>
      <c r="I62" s="677"/>
      <c r="J62" s="731"/>
      <c r="K62" s="85"/>
      <c r="L62" s="677"/>
      <c r="M62" s="731"/>
      <c r="N62" s="85"/>
      <c r="O62" s="677"/>
      <c r="P62" s="731"/>
      <c r="Q62" s="342"/>
      <c r="S62" s="131"/>
      <c r="T62" s="368"/>
    </row>
    <row r="63" spans="2:20" ht="13" customHeight="1">
      <c r="B63" s="113" t="s">
        <v>12</v>
      </c>
      <c r="D63" s="716">
        <f>D64+D65</f>
        <v>52497282.530235395</v>
      </c>
      <c r="E63" s="717">
        <f>D63/D$30</f>
        <v>4.2349750523298278E-2</v>
      </c>
      <c r="F63" s="708"/>
      <c r="G63" s="381">
        <f>G64+G65</f>
        <v>52497282.530235395</v>
      </c>
      <c r="H63" s="717">
        <f>G63/G$30</f>
        <v>4.0289616272254039E-2</v>
      </c>
      <c r="I63" s="708"/>
      <c r="J63" s="381">
        <f>J64+J65</f>
        <v>52497282.530235395</v>
      </c>
      <c r="K63" s="717">
        <f>J63/J$30</f>
        <v>3.8364846001226874E-2</v>
      </c>
      <c r="L63" s="708"/>
      <c r="M63" s="381">
        <f>M64+M65</f>
        <v>52923615.35553775</v>
      </c>
      <c r="N63" s="717">
        <f>M63/M$30</f>
        <v>3.7450331446101215E-2</v>
      </c>
      <c r="O63" s="708"/>
      <c r="P63" s="381">
        <f>P64+P65</f>
        <v>53354211.509093128</v>
      </c>
      <c r="Q63" s="718">
        <f>P63/P$30</f>
        <v>3.67623791297539E-2</v>
      </c>
      <c r="T63" s="368"/>
    </row>
    <row r="64" spans="2:20" ht="13" customHeight="1">
      <c r="B64" s="113" t="s">
        <v>44</v>
      </c>
      <c r="D64" s="716">
        <f>'Undist Expense'!F182</f>
        <v>9864000</v>
      </c>
      <c r="E64" s="717">
        <f t="shared" ref="E64:E82" si="1">D64/D$30</f>
        <v>7.9573250086082334E-3</v>
      </c>
      <c r="F64" s="733" t="s">
        <v>42</v>
      </c>
      <c r="G64" s="737">
        <f>'Undist Expense'!H182</f>
        <v>9864000</v>
      </c>
      <c r="H64" s="717">
        <f t="shared" ref="H64:H82" si="2">G64/G$30</f>
        <v>7.5702351770422557E-3</v>
      </c>
      <c r="I64" s="733" t="s">
        <v>42</v>
      </c>
      <c r="J64" s="737">
        <f>'Undist Expense'!J182</f>
        <v>9864000</v>
      </c>
      <c r="K64" s="717">
        <f t="shared" ref="K64:K82" si="3">J64/J$30</f>
        <v>7.208579620062194E-3</v>
      </c>
      <c r="L64" s="733" t="s">
        <v>42</v>
      </c>
      <c r="M64" s="737">
        <f>'Undist Expense'!L182</f>
        <v>9864000</v>
      </c>
      <c r="N64" s="717">
        <f t="shared" ref="N64:N82" si="4">M64/M$30</f>
        <v>6.9800611107662842E-3</v>
      </c>
      <c r="O64" s="733" t="s">
        <v>42</v>
      </c>
      <c r="P64" s="737">
        <f>'Undist Expense'!N182</f>
        <v>9864000</v>
      </c>
      <c r="Q64" s="718">
        <f t="shared" ref="Q64:Q82" si="5">P64/P$30</f>
        <v>6.7965414065596424E-3</v>
      </c>
      <c r="T64" s="370"/>
    </row>
    <row r="65" spans="2:23" ht="13" customHeight="1">
      <c r="B65" s="113" t="s">
        <v>45</v>
      </c>
      <c r="D65" s="716">
        <f>'Undist Expense'!E157</f>
        <v>42633282.530235395</v>
      </c>
      <c r="E65" s="717">
        <f t="shared" si="1"/>
        <v>3.4392425514690045E-2</v>
      </c>
      <c r="F65" s="708">
        <v>0</v>
      </c>
      <c r="G65" s="737">
        <f>D65*(1+F65)</f>
        <v>42633282.530235395</v>
      </c>
      <c r="H65" s="717">
        <f t="shared" si="2"/>
        <v>3.2719381095211782E-2</v>
      </c>
      <c r="I65" s="708">
        <v>0</v>
      </c>
      <c r="J65" s="737">
        <f>G65*(1+I65)</f>
        <v>42633282.530235395</v>
      </c>
      <c r="K65" s="717">
        <f t="shared" si="3"/>
        <v>3.1156266381164682E-2</v>
      </c>
      <c r="L65" s="708">
        <v>0.01</v>
      </c>
      <c r="M65" s="737">
        <f>J65*(1+L65)</f>
        <v>43059615.35553775</v>
      </c>
      <c r="N65" s="717">
        <f t="shared" si="4"/>
        <v>3.0470270335334934E-2</v>
      </c>
      <c r="O65" s="708">
        <v>0.01</v>
      </c>
      <c r="P65" s="737">
        <f>M65*(1+O65)</f>
        <v>43490211.509093128</v>
      </c>
      <c r="Q65" s="718">
        <f t="shared" si="5"/>
        <v>2.996583772319426E-2</v>
      </c>
      <c r="S65" s="131"/>
      <c r="T65" s="368"/>
    </row>
    <row r="66" spans="2:23" ht="13" customHeight="1">
      <c r="B66" s="113" t="s">
        <v>13</v>
      </c>
      <c r="D66" s="716">
        <f>D67+D68</f>
        <v>30792251.137987014</v>
      </c>
      <c r="E66" s="717">
        <f t="shared" si="1"/>
        <v>2.4840222024700872E-2</v>
      </c>
      <c r="F66" s="708"/>
      <c r="G66" s="381">
        <f>G67+G68</f>
        <v>32059956.57813615</v>
      </c>
      <c r="H66" s="717">
        <f t="shared" si="2"/>
        <v>2.4604765922775097E-2</v>
      </c>
      <c r="I66" s="708"/>
      <c r="J66" s="381">
        <f>J67+J68</f>
        <v>33367388.639358319</v>
      </c>
      <c r="K66" s="717">
        <f t="shared" si="3"/>
        <v>2.4384780790792086E-2</v>
      </c>
      <c r="L66" s="708"/>
      <c r="M66" s="381">
        <f>M67+M68</f>
        <v>34263362.865936607</v>
      </c>
      <c r="N66" s="717">
        <f t="shared" si="4"/>
        <v>2.4245779264456379E-2</v>
      </c>
      <c r="O66" s="708"/>
      <c r="P66" s="381">
        <f>P67+P68</f>
        <v>35026528.082297325</v>
      </c>
      <c r="Q66" s="718">
        <f t="shared" si="5"/>
        <v>2.4134149274063047E-2</v>
      </c>
      <c r="S66" s="539"/>
    </row>
    <row r="67" spans="2:23" ht="13" customHeight="1">
      <c r="B67" s="113" t="s">
        <v>44</v>
      </c>
      <c r="D67" s="716">
        <f>'Undist Expense'!F183</f>
        <v>0</v>
      </c>
      <c r="E67" s="717">
        <f t="shared" si="1"/>
        <v>0</v>
      </c>
      <c r="F67" s="733" t="s">
        <v>42</v>
      </c>
      <c r="G67" s="737">
        <f>'Undist Expense'!H183</f>
        <v>0</v>
      </c>
      <c r="H67" s="717">
        <f t="shared" si="2"/>
        <v>0</v>
      </c>
      <c r="I67" s="733" t="s">
        <v>42</v>
      </c>
      <c r="J67" s="737">
        <f>'Undist Expense'!J183</f>
        <v>0</v>
      </c>
      <c r="K67" s="717">
        <f t="shared" si="3"/>
        <v>0</v>
      </c>
      <c r="L67" s="733" t="s">
        <v>42</v>
      </c>
      <c r="M67" s="737">
        <f>'Undist Expense'!L183</f>
        <v>0</v>
      </c>
      <c r="N67" s="717">
        <f t="shared" si="4"/>
        <v>0</v>
      </c>
      <c r="O67" s="733" t="s">
        <v>42</v>
      </c>
      <c r="P67" s="737">
        <f>'Undist Expense'!N183</f>
        <v>0</v>
      </c>
      <c r="Q67" s="718">
        <f t="shared" si="5"/>
        <v>0</v>
      </c>
    </row>
    <row r="68" spans="2:23" ht="13" customHeight="1">
      <c r="B68" s="113" t="s">
        <v>45</v>
      </c>
      <c r="D68" s="716">
        <f>'Undist Expense'!E161</f>
        <v>30792251.137987014</v>
      </c>
      <c r="E68" s="717">
        <f t="shared" si="1"/>
        <v>2.4840222024700872E-2</v>
      </c>
      <c r="F68" s="738" t="s">
        <v>46</v>
      </c>
      <c r="G68" s="381">
        <f>SUM(G118:G120)*G30+G121</f>
        <v>32059956.57813615</v>
      </c>
      <c r="H68" s="717">
        <f t="shared" si="2"/>
        <v>2.4604765922775097E-2</v>
      </c>
      <c r="I68" s="738" t="s">
        <v>46</v>
      </c>
      <c r="J68" s="381">
        <f>SUM(J118:J120)*J30+J121</f>
        <v>33367388.639358319</v>
      </c>
      <c r="K68" s="717">
        <f t="shared" si="3"/>
        <v>2.4384780790792086E-2</v>
      </c>
      <c r="L68" s="738" t="s">
        <v>46</v>
      </c>
      <c r="M68" s="381">
        <f>SUM(M118:M120)*M30+M121</f>
        <v>34263362.865936607</v>
      </c>
      <c r="N68" s="717">
        <f t="shared" si="4"/>
        <v>2.4245779264456379E-2</v>
      </c>
      <c r="O68" s="738" t="s">
        <v>46</v>
      </c>
      <c r="P68" s="381">
        <f>SUM(P118:P120)*P30+P121</f>
        <v>35026528.082297325</v>
      </c>
      <c r="Q68" s="718">
        <f t="shared" si="5"/>
        <v>2.4134149274063047E-2</v>
      </c>
    </row>
    <row r="69" spans="2:23" ht="13" customHeight="1">
      <c r="B69" s="113" t="s">
        <v>14</v>
      </c>
      <c r="D69" s="716">
        <f>D70+D71</f>
        <v>27596125.568993509</v>
      </c>
      <c r="E69" s="717">
        <f t="shared" si="1"/>
        <v>2.2261895795908877E-2</v>
      </c>
      <c r="F69" s="708"/>
      <c r="G69" s="381">
        <f>G70+G71</f>
        <v>27596125.568993509</v>
      </c>
      <c r="H69" s="717">
        <f t="shared" si="2"/>
        <v>2.1178949770120629E-2</v>
      </c>
      <c r="I69" s="708"/>
      <c r="J69" s="381">
        <f>J70+J71</f>
        <v>27596125.568993509</v>
      </c>
      <c r="K69" s="717">
        <f t="shared" si="3"/>
        <v>2.0167160215868188E-2</v>
      </c>
      <c r="L69" s="708"/>
      <c r="M69" s="381">
        <f>M70+M71</f>
        <v>27872086.824683443</v>
      </c>
      <c r="N69" s="717">
        <f t="shared" si="4"/>
        <v>1.9723121382894792E-2</v>
      </c>
      <c r="O69" s="708"/>
      <c r="P69" s="381">
        <f>P70+P71</f>
        <v>28150807.692930277</v>
      </c>
      <c r="Q69" s="718">
        <f t="shared" si="5"/>
        <v>1.939660686466934E-2</v>
      </c>
    </row>
    <row r="70" spans="2:23" ht="13" customHeight="1">
      <c r="B70" s="113" t="s">
        <v>44</v>
      </c>
      <c r="D70" s="716">
        <f>'Undist Expense'!F184</f>
        <v>0</v>
      </c>
      <c r="E70" s="717">
        <f t="shared" si="1"/>
        <v>0</v>
      </c>
      <c r="F70" s="733" t="s">
        <v>42</v>
      </c>
      <c r="G70" s="737">
        <f>'Undist Expense'!H184</f>
        <v>0</v>
      </c>
      <c r="H70" s="717">
        <f t="shared" si="2"/>
        <v>0</v>
      </c>
      <c r="I70" s="733" t="s">
        <v>42</v>
      </c>
      <c r="J70" s="737">
        <f>'Undist Expense'!J184</f>
        <v>0</v>
      </c>
      <c r="K70" s="717">
        <f t="shared" si="3"/>
        <v>0</v>
      </c>
      <c r="L70" s="733" t="s">
        <v>42</v>
      </c>
      <c r="M70" s="737">
        <f>'Undist Expense'!L184</f>
        <v>0</v>
      </c>
      <c r="N70" s="717">
        <f t="shared" si="4"/>
        <v>0</v>
      </c>
      <c r="O70" s="733" t="s">
        <v>42</v>
      </c>
      <c r="P70" s="737">
        <f>'Undist Expense'!N184</f>
        <v>0</v>
      </c>
      <c r="Q70" s="718">
        <f t="shared" si="5"/>
        <v>0</v>
      </c>
    </row>
    <row r="71" spans="2:23" ht="13" customHeight="1">
      <c r="B71" s="113" t="s">
        <v>45</v>
      </c>
      <c r="D71" s="716">
        <f>'Undist Expense'!E165</f>
        <v>27596125.568993509</v>
      </c>
      <c r="E71" s="717">
        <f t="shared" si="1"/>
        <v>2.2261895795908877E-2</v>
      </c>
      <c r="F71" s="708">
        <v>0</v>
      </c>
      <c r="G71" s="737">
        <f>D71*(1+F71)</f>
        <v>27596125.568993509</v>
      </c>
      <c r="H71" s="717">
        <f t="shared" si="2"/>
        <v>2.1178949770120629E-2</v>
      </c>
      <c r="I71" s="708">
        <v>0</v>
      </c>
      <c r="J71" s="737">
        <f>G71*(1+I71)</f>
        <v>27596125.568993509</v>
      </c>
      <c r="K71" s="717">
        <f t="shared" si="3"/>
        <v>2.0167160215868188E-2</v>
      </c>
      <c r="L71" s="708">
        <v>0.01</v>
      </c>
      <c r="M71" s="737">
        <f>J71*(1+L71)</f>
        <v>27872086.824683443</v>
      </c>
      <c r="N71" s="717">
        <f t="shared" si="4"/>
        <v>1.9723121382894792E-2</v>
      </c>
      <c r="O71" s="708">
        <v>0.01</v>
      </c>
      <c r="P71" s="737">
        <f>M71*(1+O71)</f>
        <v>28150807.692930277</v>
      </c>
      <c r="Q71" s="718">
        <f t="shared" si="5"/>
        <v>1.939660686466934E-2</v>
      </c>
    </row>
    <row r="72" spans="2:23" ht="13" customHeight="1">
      <c r="B72" s="19" t="s">
        <v>296</v>
      </c>
      <c r="D72" s="716">
        <f>'Undist Expense'!E167</f>
        <v>97590225.608766228</v>
      </c>
      <c r="E72" s="717">
        <f t="shared" si="1"/>
        <v>7.8726393231179567E-2</v>
      </c>
      <c r="F72" s="649"/>
      <c r="G72" s="737">
        <f>G135*G13</f>
        <v>100990200.60876624</v>
      </c>
      <c r="H72" s="717">
        <f t="shared" si="2"/>
        <v>7.7506039049577896E-2</v>
      </c>
      <c r="I72" s="649"/>
      <c r="J72" s="737">
        <f>J135*J13</f>
        <v>104390175.60876623</v>
      </c>
      <c r="K72" s="717">
        <f t="shared" si="3"/>
        <v>7.6288006126121827E-2</v>
      </c>
      <c r="L72" s="649"/>
      <c r="M72" s="737">
        <f>M135*M13</f>
        <v>106656825.60876624</v>
      </c>
      <c r="N72" s="717">
        <f t="shared" si="4"/>
        <v>7.547355643040661E-2</v>
      </c>
      <c r="O72" s="649"/>
      <c r="P72" s="737">
        <f>P135*P13</f>
        <v>108356813.10876623</v>
      </c>
      <c r="Q72" s="718">
        <f t="shared" si="5"/>
        <v>7.4660540042231785E-2</v>
      </c>
    </row>
    <row r="73" spans="2:23" ht="13" customHeight="1">
      <c r="B73" s="19"/>
      <c r="D73" s="716"/>
      <c r="E73" s="717"/>
      <c r="F73" s="649"/>
      <c r="G73" s="737"/>
      <c r="H73" s="717"/>
      <c r="I73" s="649"/>
      <c r="J73" s="737"/>
      <c r="K73" s="717"/>
      <c r="L73" s="649"/>
      <c r="M73" s="737"/>
      <c r="N73" s="717"/>
      <c r="O73" s="649"/>
      <c r="P73" s="737"/>
      <c r="Q73" s="718"/>
    </row>
    <row r="74" spans="2:23" ht="13" customHeight="1">
      <c r="B74" s="739" t="s">
        <v>371</v>
      </c>
      <c r="D74" s="740">
        <f>SUM(D75:D80)</f>
        <v>0</v>
      </c>
      <c r="E74" s="741">
        <f t="shared" si="1"/>
        <v>0</v>
      </c>
      <c r="F74" s="649"/>
      <c r="G74" s="742">
        <f>SUM(G75:G80)</f>
        <v>0</v>
      </c>
      <c r="H74" s="741">
        <f t="shared" ref="H74:H80" si="6">G74/G$30</f>
        <v>0</v>
      </c>
      <c r="I74" s="649"/>
      <c r="J74" s="742">
        <f>SUM(J75:J80)</f>
        <v>0</v>
      </c>
      <c r="K74" s="741">
        <f t="shared" ref="K74:K80" si="7">J74/J$30</f>
        <v>0</v>
      </c>
      <c r="L74" s="649"/>
      <c r="M74" s="742">
        <f>SUM(M75:M80)</f>
        <v>0</v>
      </c>
      <c r="N74" s="741">
        <f t="shared" ref="N74:N80" si="8">M74/M$30</f>
        <v>0</v>
      </c>
      <c r="O74" s="649"/>
      <c r="P74" s="742">
        <f>SUM(P75:P80)</f>
        <v>0</v>
      </c>
      <c r="Q74" s="743">
        <f t="shared" ref="Q74:Q80" si="9">P74/P$30</f>
        <v>0</v>
      </c>
    </row>
    <row r="75" spans="2:23" ht="13" customHeight="1">
      <c r="B75" s="739" t="s">
        <v>368</v>
      </c>
      <c r="D75" s="716">
        <f>D$27*$S75</f>
        <v>0</v>
      </c>
      <c r="E75" s="717">
        <f t="shared" si="1"/>
        <v>0</v>
      </c>
      <c r="F75" s="649"/>
      <c r="G75" s="737">
        <f>G$27*$S75</f>
        <v>0</v>
      </c>
      <c r="H75" s="717">
        <f t="shared" si="6"/>
        <v>0</v>
      </c>
      <c r="I75" s="649"/>
      <c r="J75" s="737">
        <f>J$27*$S75</f>
        <v>0</v>
      </c>
      <c r="K75" s="717">
        <f t="shared" si="7"/>
        <v>0</v>
      </c>
      <c r="L75" s="649"/>
      <c r="M75" s="737">
        <f>M$27*$S75</f>
        <v>0</v>
      </c>
      <c r="N75" s="717">
        <f t="shared" si="8"/>
        <v>0</v>
      </c>
      <c r="O75" s="649"/>
      <c r="P75" s="737">
        <f>P$27*$S75</f>
        <v>0</v>
      </c>
      <c r="Q75" s="718">
        <f t="shared" si="9"/>
        <v>0</v>
      </c>
      <c r="S75" s="744"/>
      <c r="T75" s="681"/>
      <c r="U75" s="462"/>
      <c r="V75" s="462"/>
      <c r="W75" s="462"/>
    </row>
    <row r="76" spans="2:23" ht="13" customHeight="1">
      <c r="B76" s="739" t="s">
        <v>369</v>
      </c>
      <c r="D76" s="737">
        <f>D$30*$S76</f>
        <v>0</v>
      </c>
      <c r="E76" s="717">
        <f t="shared" si="1"/>
        <v>0</v>
      </c>
      <c r="F76" s="649"/>
      <c r="G76" s="737">
        <f>G$30*$S76</f>
        <v>0</v>
      </c>
      <c r="H76" s="717">
        <f t="shared" si="6"/>
        <v>0</v>
      </c>
      <c r="I76" s="649"/>
      <c r="J76" s="737">
        <f>J$30*$S76</f>
        <v>0</v>
      </c>
      <c r="K76" s="717">
        <f t="shared" si="7"/>
        <v>0</v>
      </c>
      <c r="L76" s="649"/>
      <c r="M76" s="737">
        <f>M$30*$S76</f>
        <v>0</v>
      </c>
      <c r="N76" s="717">
        <f t="shared" si="8"/>
        <v>0</v>
      </c>
      <c r="O76" s="649"/>
      <c r="P76" s="737">
        <f>P$30*$S76</f>
        <v>0</v>
      </c>
      <c r="Q76" s="718">
        <f t="shared" si="9"/>
        <v>0</v>
      </c>
      <c r="S76" s="744"/>
      <c r="T76" s="681"/>
      <c r="U76" s="745"/>
      <c r="V76" s="462"/>
      <c r="W76" s="462"/>
    </row>
    <row r="77" spans="2:23" ht="13" customHeight="1">
      <c r="B77" s="739" t="s">
        <v>370</v>
      </c>
      <c r="D77" s="716">
        <f>D$27*$S77</f>
        <v>0</v>
      </c>
      <c r="E77" s="717">
        <f t="shared" si="1"/>
        <v>0</v>
      </c>
      <c r="F77" s="649"/>
      <c r="G77" s="737">
        <f>G$27*$S77</f>
        <v>0</v>
      </c>
      <c r="H77" s="717">
        <f t="shared" si="6"/>
        <v>0</v>
      </c>
      <c r="I77" s="649"/>
      <c r="J77" s="737">
        <f>J$27*$S77</f>
        <v>0</v>
      </c>
      <c r="K77" s="717">
        <f t="shared" si="7"/>
        <v>0</v>
      </c>
      <c r="L77" s="649"/>
      <c r="M77" s="737">
        <f>M$27*$S77</f>
        <v>0</v>
      </c>
      <c r="N77" s="717">
        <f t="shared" si="8"/>
        <v>0</v>
      </c>
      <c r="O77" s="649"/>
      <c r="P77" s="737">
        <f>P$27*$S77</f>
        <v>0</v>
      </c>
      <c r="Q77" s="718">
        <f t="shared" si="9"/>
        <v>0</v>
      </c>
      <c r="S77" s="744"/>
      <c r="T77" s="681"/>
      <c r="U77" s="745"/>
      <c r="V77" s="745"/>
      <c r="W77" s="462"/>
    </row>
    <row r="78" spans="2:23" ht="13" customHeight="1">
      <c r="B78" s="739"/>
      <c r="D78" s="716">
        <f>$S78</f>
        <v>0</v>
      </c>
      <c r="E78" s="717">
        <f t="shared" si="1"/>
        <v>0</v>
      </c>
      <c r="F78" s="649"/>
      <c r="G78" s="737">
        <f>$S78</f>
        <v>0</v>
      </c>
      <c r="H78" s="717">
        <f t="shared" si="6"/>
        <v>0</v>
      </c>
      <c r="I78" s="649"/>
      <c r="J78" s="737">
        <f>$S78</f>
        <v>0</v>
      </c>
      <c r="K78" s="717">
        <f t="shared" si="7"/>
        <v>0</v>
      </c>
      <c r="L78" s="649"/>
      <c r="M78" s="737">
        <f>$S78</f>
        <v>0</v>
      </c>
      <c r="N78" s="717">
        <f t="shared" si="8"/>
        <v>0</v>
      </c>
      <c r="O78" s="649"/>
      <c r="P78" s="737">
        <f>$S78</f>
        <v>0</v>
      </c>
      <c r="Q78" s="718">
        <f t="shared" si="9"/>
        <v>0</v>
      </c>
      <c r="S78" s="589"/>
      <c r="T78" s="746"/>
      <c r="U78" s="368"/>
      <c r="V78" s="747"/>
      <c r="W78" s="748"/>
    </row>
    <row r="79" spans="2:23" ht="13" customHeight="1">
      <c r="B79" s="739"/>
      <c r="D79" s="716">
        <f>$S79</f>
        <v>0</v>
      </c>
      <c r="E79" s="717">
        <f t="shared" si="1"/>
        <v>0</v>
      </c>
      <c r="F79" s="649"/>
      <c r="G79" s="737">
        <f>$S79</f>
        <v>0</v>
      </c>
      <c r="H79" s="717">
        <f t="shared" si="6"/>
        <v>0</v>
      </c>
      <c r="I79" s="649"/>
      <c r="J79" s="737">
        <f>$S79</f>
        <v>0</v>
      </c>
      <c r="K79" s="717">
        <f t="shared" si="7"/>
        <v>0</v>
      </c>
      <c r="L79" s="649"/>
      <c r="M79" s="737">
        <f>$S79</f>
        <v>0</v>
      </c>
      <c r="N79" s="717">
        <f t="shared" si="8"/>
        <v>0</v>
      </c>
      <c r="O79" s="649"/>
      <c r="P79" s="737">
        <f>$S79</f>
        <v>0</v>
      </c>
      <c r="Q79" s="718">
        <f t="shared" si="9"/>
        <v>0</v>
      </c>
      <c r="S79" s="589"/>
      <c r="T79" s="746"/>
      <c r="U79" s="748"/>
      <c r="V79" s="747"/>
      <c r="W79" s="748"/>
    </row>
    <row r="80" spans="2:23" ht="13" customHeight="1">
      <c r="B80" s="739"/>
      <c r="D80" s="716">
        <f>D30*$S80*$U80</f>
        <v>0</v>
      </c>
      <c r="E80" s="717">
        <f t="shared" si="1"/>
        <v>0</v>
      </c>
      <c r="F80" s="649"/>
      <c r="G80" s="737">
        <f>G30*$S80*$U80</f>
        <v>0</v>
      </c>
      <c r="H80" s="717">
        <f t="shared" si="6"/>
        <v>0</v>
      </c>
      <c r="I80" s="649"/>
      <c r="J80" s="737">
        <f>J30*$S80*$U80</f>
        <v>0</v>
      </c>
      <c r="K80" s="717">
        <f t="shared" si="7"/>
        <v>0</v>
      </c>
      <c r="L80" s="649"/>
      <c r="M80" s="737">
        <f>M30*$S80*$U80</f>
        <v>0</v>
      </c>
      <c r="N80" s="717">
        <f t="shared" si="8"/>
        <v>0</v>
      </c>
      <c r="O80" s="649"/>
      <c r="P80" s="737">
        <f>P30*$S80*$U80</f>
        <v>0</v>
      </c>
      <c r="Q80" s="718">
        <f t="shared" si="9"/>
        <v>0</v>
      </c>
      <c r="S80" s="749"/>
      <c r="T80" s="750"/>
      <c r="U80" s="745"/>
      <c r="V80" s="748"/>
      <c r="W80" s="462"/>
    </row>
    <row r="81" spans="2:20" ht="13" customHeight="1">
      <c r="B81" s="739"/>
      <c r="D81" s="716"/>
      <c r="E81" s="717"/>
      <c r="F81" s="649"/>
      <c r="G81" s="737"/>
      <c r="H81" s="717"/>
      <c r="I81" s="649"/>
      <c r="J81" s="737"/>
      <c r="K81" s="717"/>
      <c r="L81" s="649"/>
      <c r="M81" s="737"/>
      <c r="N81" s="717"/>
      <c r="O81" s="649"/>
      <c r="P81" s="737"/>
      <c r="Q81" s="718"/>
    </row>
    <row r="82" spans="2:20" s="58" customFormat="1" ht="13" customHeight="1">
      <c r="B82" s="751" t="s">
        <v>16</v>
      </c>
      <c r="D82" s="752">
        <f>D63+D66+D69+D72+D74</f>
        <v>208475884.84598213</v>
      </c>
      <c r="E82" s="753">
        <f t="shared" si="1"/>
        <v>0.16817826157508758</v>
      </c>
      <c r="F82" s="413"/>
      <c r="G82" s="754">
        <f>G63+G66+G69+G72+G74</f>
        <v>213143565.28613129</v>
      </c>
      <c r="H82" s="753">
        <f t="shared" si="2"/>
        <v>0.16357937101472766</v>
      </c>
      <c r="I82" s="413"/>
      <c r="J82" s="754">
        <f>J63+J66+J69+J72+J74</f>
        <v>217850972.34735346</v>
      </c>
      <c r="K82" s="753">
        <f t="shared" si="3"/>
        <v>0.15920479313400898</v>
      </c>
      <c r="L82" s="413"/>
      <c r="M82" s="754">
        <f>M63+M66+M69+M72+M74</f>
        <v>221715890.65492404</v>
      </c>
      <c r="N82" s="753">
        <f t="shared" si="4"/>
        <v>0.15689278852385899</v>
      </c>
      <c r="O82" s="413"/>
      <c r="P82" s="754">
        <f>P63+P66+P69+P72+P74</f>
        <v>224888360.39308697</v>
      </c>
      <c r="Q82" s="755">
        <f t="shared" si="5"/>
        <v>0.15495367531071808</v>
      </c>
      <c r="S82" s="83">
        <f>D82</f>
        <v>208475884.84598213</v>
      </c>
      <c r="T82" s="368" t="s">
        <v>320</v>
      </c>
    </row>
    <row r="83" spans="2:20" ht="13" customHeight="1">
      <c r="D83" s="737"/>
      <c r="G83" s="379"/>
      <c r="J83" s="379"/>
      <c r="M83" s="379"/>
      <c r="P83" s="379"/>
    </row>
    <row r="84" spans="2:20" ht="13" customHeight="1">
      <c r="B84" s="756" t="s">
        <v>47</v>
      </c>
      <c r="D84" s="757">
        <f>D60-D82</f>
        <v>376330741.04038149</v>
      </c>
      <c r="E84" s="758">
        <f t="shared" ref="E84" si="10">D84/D$30</f>
        <v>0.3035873902259425</v>
      </c>
      <c r="F84" s="759"/>
      <c r="G84" s="760">
        <f>G60-G82</f>
        <v>411126037.41085601</v>
      </c>
      <c r="H84" s="758">
        <f t="shared" ref="H84" si="11">G84/G$30</f>
        <v>0.31552319450584476</v>
      </c>
      <c r="I84" s="759"/>
      <c r="J84" s="760">
        <f>J60-J82</f>
        <v>447142927.38118505</v>
      </c>
      <c r="K84" s="758">
        <f t="shared" ref="K84" si="12">J84/J$30</f>
        <v>0.32677061978659366</v>
      </c>
      <c r="L84" s="759"/>
      <c r="M84" s="760">
        <f>M60-M82</f>
        <v>471200743.49377906</v>
      </c>
      <c r="N84" s="758">
        <f t="shared" ref="N84" si="13">M84/M$30</f>
        <v>0.33343572435371921</v>
      </c>
      <c r="O84" s="759"/>
      <c r="P84" s="760">
        <f>P60-P82</f>
        <v>491865433.92406303</v>
      </c>
      <c r="Q84" s="761">
        <f t="shared" ref="Q84" si="14">P84/P$30</f>
        <v>0.33890752109897815</v>
      </c>
    </row>
    <row r="85" spans="2:20" ht="13" customHeight="1">
      <c r="B85" s="762"/>
      <c r="D85" s="763"/>
      <c r="E85" s="764"/>
      <c r="F85" s="765"/>
      <c r="G85" s="766"/>
      <c r="H85" s="764"/>
      <c r="I85" s="765"/>
      <c r="J85" s="766"/>
      <c r="K85" s="764"/>
      <c r="L85" s="765"/>
      <c r="M85" s="766"/>
      <c r="N85" s="764"/>
      <c r="O85" s="765"/>
      <c r="P85" s="766"/>
      <c r="Q85" s="767"/>
    </row>
    <row r="86" spans="2:20" ht="13" customHeight="1">
      <c r="B86" s="1"/>
      <c r="D86" s="29"/>
      <c r="E86" s="717"/>
      <c r="F86" s="59"/>
      <c r="G86" s="381"/>
      <c r="H86" s="717"/>
      <c r="I86" s="59"/>
      <c r="J86" s="381"/>
      <c r="K86" s="717"/>
      <c r="L86" s="59"/>
      <c r="M86" s="381"/>
      <c r="N86" s="717"/>
      <c r="O86" s="59"/>
      <c r="P86" s="381"/>
      <c r="Q86" s="717"/>
    </row>
    <row r="87" spans="2:20" ht="13" customHeight="1">
      <c r="B87" s="1" t="s">
        <v>48</v>
      </c>
      <c r="D87" s="29">
        <f>$R$87*D30</f>
        <v>24792251.137987014</v>
      </c>
      <c r="E87" s="717">
        <f t="shared" ref="E87" si="15">D87/D$30</f>
        <v>0.02</v>
      </c>
      <c r="F87" s="59"/>
      <c r="G87" s="381">
        <f>$R$87*G30</f>
        <v>26059956.57813615</v>
      </c>
      <c r="H87" s="717">
        <f t="shared" ref="H87" si="16">G87/G$30</f>
        <v>0.02</v>
      </c>
      <c r="I87" s="59"/>
      <c r="J87" s="381">
        <f>$R$87*J30</f>
        <v>27367388.639358319</v>
      </c>
      <c r="K87" s="717">
        <f t="shared" ref="K87" si="17">J87/J$30</f>
        <v>0.02</v>
      </c>
      <c r="L87" s="59"/>
      <c r="M87" s="381">
        <f>$R$87*M30</f>
        <v>28263362.865936603</v>
      </c>
      <c r="N87" s="717">
        <f t="shared" ref="N87" si="18">M87/M$30</f>
        <v>0.02</v>
      </c>
      <c r="O87" s="59"/>
      <c r="P87" s="381">
        <f>$R$87*P30</f>
        <v>29026528.082297321</v>
      </c>
      <c r="Q87" s="717">
        <f t="shared" ref="Q87" si="19">P87/P$30</f>
        <v>0.02</v>
      </c>
      <c r="R87" s="768">
        <v>0.02</v>
      </c>
      <c r="S87" s="769" t="s">
        <v>49</v>
      </c>
    </row>
    <row r="88" spans="2:20" ht="13" customHeight="1">
      <c r="B88" s="1"/>
      <c r="D88" s="39"/>
      <c r="G88" s="246"/>
      <c r="J88" s="246"/>
      <c r="M88" s="246"/>
      <c r="P88" s="246"/>
    </row>
    <row r="89" spans="2:20" ht="13" customHeight="1">
      <c r="B89" s="756" t="s">
        <v>17</v>
      </c>
      <c r="D89" s="757">
        <f>D84-D87</f>
        <v>351538489.90239447</v>
      </c>
      <c r="E89" s="758">
        <f t="shared" ref="E89" si="20">D89/D$30</f>
        <v>0.28358739022594248</v>
      </c>
      <c r="F89" s="759"/>
      <c r="G89" s="760">
        <f>G84-G87</f>
        <v>385066080.83271986</v>
      </c>
      <c r="H89" s="758">
        <f t="shared" ref="H89" si="21">G89/G$30</f>
        <v>0.29552319450584474</v>
      </c>
      <c r="I89" s="759"/>
      <c r="J89" s="760">
        <f>J84-J87</f>
        <v>419775538.74182671</v>
      </c>
      <c r="K89" s="758">
        <f t="shared" ref="K89" si="22">J89/J$30</f>
        <v>0.30677061978659365</v>
      </c>
      <c r="L89" s="759"/>
      <c r="M89" s="760">
        <f>M84-M87</f>
        <v>442937380.62784249</v>
      </c>
      <c r="N89" s="758">
        <f t="shared" ref="N89" si="23">M89/M$30</f>
        <v>0.31343572435371925</v>
      </c>
      <c r="O89" s="759"/>
      <c r="P89" s="760">
        <f>P84-P87</f>
        <v>462838905.8417657</v>
      </c>
      <c r="Q89" s="761">
        <f t="shared" ref="Q89" si="24">P89/P$30</f>
        <v>0.31890752109897813</v>
      </c>
    </row>
    <row r="90" spans="2:20" ht="13" customHeight="1">
      <c r="B90" s="762"/>
      <c r="D90" s="763"/>
      <c r="E90" s="764"/>
      <c r="F90" s="765"/>
      <c r="G90" s="766"/>
      <c r="H90" s="764"/>
      <c r="I90" s="765"/>
      <c r="J90" s="766"/>
      <c r="K90" s="764"/>
      <c r="L90" s="765"/>
      <c r="M90" s="766"/>
      <c r="N90" s="764"/>
      <c r="O90" s="765"/>
      <c r="P90" s="766"/>
      <c r="Q90" s="767"/>
      <c r="T90" s="56">
        <f>INT(8)</f>
        <v>8</v>
      </c>
    </row>
    <row r="91" spans="2:20" ht="13" customHeight="1">
      <c r="B91" s="5"/>
      <c r="D91" s="39"/>
      <c r="E91" s="539"/>
      <c r="G91" s="246"/>
      <c r="H91" s="539"/>
      <c r="J91" s="246"/>
      <c r="K91" s="539"/>
      <c r="M91" s="246"/>
      <c r="N91" s="539"/>
      <c r="P91" s="246"/>
      <c r="Q91" s="539"/>
    </row>
    <row r="92" spans="2:20" ht="13" customHeight="1">
      <c r="B92" s="1" t="s">
        <v>50</v>
      </c>
      <c r="D92" s="29">
        <f>IF(D89&lt;0,0,$R$92*D89)</f>
        <v>28123079.19219156</v>
      </c>
      <c r="E92" s="717">
        <f t="shared" ref="E92" si="25">D92/D$30</f>
        <v>2.2686991218075398E-2</v>
      </c>
      <c r="G92" s="381">
        <f>IF(G89&lt;0,0,$R$92*G89)</f>
        <v>30805286.466617588</v>
      </c>
      <c r="H92" s="717">
        <f t="shared" ref="H92" si="26">G92/G$30</f>
        <v>2.3641855560467578E-2</v>
      </c>
      <c r="J92" s="381">
        <f>IF(J89&lt;0,0,$R$92*J89)</f>
        <v>33582043.099346139</v>
      </c>
      <c r="K92" s="717">
        <f t="shared" ref="K92" si="27">J92/J$30</f>
        <v>2.4541649582927493E-2</v>
      </c>
      <c r="M92" s="381">
        <f>IF(M89&lt;0,0,$R$92*M89)</f>
        <v>35434990.450227402</v>
      </c>
      <c r="N92" s="717">
        <f t="shared" ref="N92" si="28">M92/M$30</f>
        <v>2.5074857948297544E-2</v>
      </c>
      <c r="O92" s="131"/>
      <c r="P92" s="381">
        <f>IF(P89&lt;0,0,$R$92*P89)</f>
        <v>37027112.467341259</v>
      </c>
      <c r="Q92" s="717">
        <f t="shared" ref="Q92" si="29">P92/P$30</f>
        <v>2.5512601687918253E-2</v>
      </c>
      <c r="R92" s="770">
        <v>0.08</v>
      </c>
      <c r="S92" s="769" t="s">
        <v>51</v>
      </c>
    </row>
    <row r="93" spans="2:20" ht="13" customHeight="1">
      <c r="B93" s="5"/>
      <c r="D93" s="29"/>
      <c r="E93" s="539"/>
      <c r="G93" s="381"/>
      <c r="H93" s="539"/>
      <c r="J93" s="381"/>
      <c r="K93" s="539"/>
      <c r="M93" s="381"/>
      <c r="N93" s="539"/>
      <c r="P93" s="381"/>
      <c r="Q93" s="539"/>
    </row>
    <row r="94" spans="2:20" ht="13" customHeight="1">
      <c r="B94" s="771" t="s">
        <v>52</v>
      </c>
      <c r="D94" s="730"/>
      <c r="E94" s="85"/>
      <c r="F94" s="85"/>
      <c r="G94" s="731"/>
      <c r="H94" s="85"/>
      <c r="I94" s="85"/>
      <c r="J94" s="731"/>
      <c r="K94" s="85"/>
      <c r="L94" s="85"/>
      <c r="M94" s="731"/>
      <c r="N94" s="85"/>
      <c r="O94" s="85"/>
      <c r="P94" s="731"/>
      <c r="Q94" s="342"/>
      <c r="R94" s="561"/>
    </row>
    <row r="95" spans="2:20" ht="13" customHeight="1">
      <c r="B95" s="113" t="s">
        <v>53</v>
      </c>
      <c r="D95" s="772">
        <v>12000000</v>
      </c>
      <c r="E95" s="717">
        <f t="shared" ref="E95:E101" si="30">D95/D$30</f>
        <v>9.6804440494017447E-3</v>
      </c>
      <c r="F95" s="1"/>
      <c r="G95" s="737">
        <f>D95</f>
        <v>12000000</v>
      </c>
      <c r="H95" s="717">
        <f t="shared" ref="H95:H99" si="31">G95/G$30</f>
        <v>9.2095318455501889E-3</v>
      </c>
      <c r="I95" s="1"/>
      <c r="J95" s="737">
        <f>G95</f>
        <v>12000000</v>
      </c>
      <c r="K95" s="717">
        <f t="shared" ref="K95:K99" si="32">J95/J$30</f>
        <v>8.769561581584177E-3</v>
      </c>
      <c r="L95" s="1"/>
      <c r="M95" s="737">
        <f>J95</f>
        <v>12000000</v>
      </c>
      <c r="N95" s="717">
        <f t="shared" ref="N95:N99" si="33">M95/M$30</f>
        <v>8.4915585289127554E-3</v>
      </c>
      <c r="O95" s="1"/>
      <c r="P95" s="737">
        <f>M95</f>
        <v>12000000</v>
      </c>
      <c r="Q95" s="718">
        <f t="shared" ref="Q95:Q99" si="34">P95/P$30</f>
        <v>8.2682985481260865E-3</v>
      </c>
      <c r="R95" s="561"/>
      <c r="S95" s="773"/>
      <c r="T95" s="459"/>
    </row>
    <row r="96" spans="2:20" ht="13" customHeight="1">
      <c r="B96" s="113" t="s">
        <v>54</v>
      </c>
      <c r="D96" s="772">
        <f>R96*D11</f>
        <v>2070000</v>
      </c>
      <c r="E96" s="717">
        <f t="shared" si="30"/>
        <v>1.669876598521801E-3</v>
      </c>
      <c r="F96" s="1"/>
      <c r="G96" s="737">
        <f>D96</f>
        <v>2070000</v>
      </c>
      <c r="H96" s="717">
        <f t="shared" si="31"/>
        <v>1.5886442433574077E-3</v>
      </c>
      <c r="I96" s="1"/>
      <c r="J96" s="737">
        <f>G96</f>
        <v>2070000</v>
      </c>
      <c r="K96" s="717">
        <f t="shared" si="32"/>
        <v>1.5127493728232706E-3</v>
      </c>
      <c r="L96" s="1"/>
      <c r="M96" s="737">
        <f>J96</f>
        <v>2070000</v>
      </c>
      <c r="N96" s="717">
        <f t="shared" si="33"/>
        <v>1.4647938462374502E-3</v>
      </c>
      <c r="O96" s="1"/>
      <c r="P96" s="737">
        <f>M96</f>
        <v>2070000</v>
      </c>
      <c r="Q96" s="718">
        <f t="shared" si="34"/>
        <v>1.42628149955175E-3</v>
      </c>
      <c r="R96" s="747">
        <v>10000</v>
      </c>
      <c r="S96" s="773" t="s">
        <v>337</v>
      </c>
      <c r="T96" s="459"/>
    </row>
    <row r="97" spans="2:19" s="229" customFormat="1" ht="13" customHeight="1">
      <c r="B97" s="774" t="s">
        <v>55</v>
      </c>
      <c r="D97" s="720">
        <f>IF(D30*$R$97 &lt;50000000,D30*$R$97,50000000)</f>
        <v>37188376.706980519</v>
      </c>
      <c r="E97" s="732">
        <f t="shared" si="30"/>
        <v>0.03</v>
      </c>
      <c r="G97" s="379">
        <f>IF(G30*$R$97 &lt;50000000,G30*$R$97,50000000)</f>
        <v>39089934.867204219</v>
      </c>
      <c r="H97" s="732">
        <f t="shared" si="31"/>
        <v>0.03</v>
      </c>
      <c r="J97" s="379">
        <f>IF(J30*$R$97 &lt;50000000,J30*$R$97,50000000)</f>
        <v>41051082.959037475</v>
      </c>
      <c r="K97" s="732">
        <f t="shared" si="32"/>
        <v>2.9999999999999995E-2</v>
      </c>
      <c r="M97" s="379">
        <f>IF(M30*$R$97 &lt;50000000,M30*$R$97,50000000)</f>
        <v>42395044.298904903</v>
      </c>
      <c r="N97" s="732">
        <f t="shared" si="33"/>
        <v>0.03</v>
      </c>
      <c r="P97" s="379">
        <f>IF(P30*$R$97 &lt;50000000,P30*$R$97,50000000)</f>
        <v>43539792.12344598</v>
      </c>
      <c r="Q97" s="641">
        <f t="shared" si="34"/>
        <v>0.03</v>
      </c>
      <c r="R97" s="775">
        <v>0.03</v>
      </c>
      <c r="S97" s="776" t="s">
        <v>363</v>
      </c>
    </row>
    <row r="98" spans="2:19" ht="13" customHeight="1">
      <c r="B98" s="113" t="s">
        <v>56</v>
      </c>
      <c r="D98" s="720">
        <f>D30*$R$98</f>
        <v>0</v>
      </c>
      <c r="E98" s="717">
        <f t="shared" si="30"/>
        <v>0</v>
      </c>
      <c r="G98" s="379">
        <f>G30*$R$98</f>
        <v>0</v>
      </c>
      <c r="H98" s="717">
        <f t="shared" si="31"/>
        <v>0</v>
      </c>
      <c r="J98" s="379">
        <f>J30*$R$98</f>
        <v>0</v>
      </c>
      <c r="K98" s="717">
        <f t="shared" si="32"/>
        <v>0</v>
      </c>
      <c r="M98" s="379">
        <f>M30*$R$98</f>
        <v>0</v>
      </c>
      <c r="N98" s="717">
        <f t="shared" si="33"/>
        <v>0</v>
      </c>
      <c r="P98" s="379">
        <f>P30*$R$98</f>
        <v>0</v>
      </c>
      <c r="Q98" s="718">
        <f t="shared" si="34"/>
        <v>0</v>
      </c>
      <c r="R98" s="775">
        <v>0</v>
      </c>
      <c r="S98" s="769" t="s">
        <v>49</v>
      </c>
    </row>
    <row r="99" spans="2:19" ht="13" customHeight="1">
      <c r="B99" s="777" t="s">
        <v>16</v>
      </c>
      <c r="D99" s="752">
        <f>SUM(D95:D98)</f>
        <v>51258376.706980519</v>
      </c>
      <c r="E99" s="710">
        <f t="shared" si="30"/>
        <v>4.1350320647923544E-2</v>
      </c>
      <c r="F99" s="363"/>
      <c r="G99" s="754">
        <f>SUM(G95:G98)</f>
        <v>53159934.867204219</v>
      </c>
      <c r="H99" s="710">
        <f t="shared" si="31"/>
        <v>4.0798176088907595E-2</v>
      </c>
      <c r="I99" s="363"/>
      <c r="J99" s="754">
        <f>SUM(J95:J98)</f>
        <v>55121082.959037475</v>
      </c>
      <c r="K99" s="710">
        <f t="shared" si="32"/>
        <v>4.0282310954407444E-2</v>
      </c>
      <c r="L99" s="363"/>
      <c r="M99" s="754">
        <f>SUM(M95:M98)</f>
        <v>56465044.298904903</v>
      </c>
      <c r="N99" s="710">
        <f t="shared" si="33"/>
        <v>3.9956352375150203E-2</v>
      </c>
      <c r="O99" s="363"/>
      <c r="P99" s="754">
        <f>SUM(P95:P98)</f>
        <v>57609792.12344598</v>
      </c>
      <c r="Q99" s="713">
        <f t="shared" si="34"/>
        <v>3.9694580047677834E-2</v>
      </c>
      <c r="S99" s="561"/>
    </row>
    <row r="100" spans="2:19" ht="13" customHeight="1">
      <c r="D100" s="39"/>
      <c r="G100" s="246"/>
      <c r="J100" s="246"/>
      <c r="M100" s="246"/>
      <c r="P100" s="246"/>
      <c r="S100" s="561"/>
    </row>
    <row r="101" spans="2:19" ht="13" customHeight="1">
      <c r="B101" s="778" t="s">
        <v>349</v>
      </c>
      <c r="D101" s="757">
        <f>D89-D92-D95-D96</f>
        <v>309345410.71020293</v>
      </c>
      <c r="E101" s="758">
        <f t="shared" si="30"/>
        <v>0.24955007835994356</v>
      </c>
      <c r="F101" s="434"/>
      <c r="G101" s="779">
        <f>G89-G92-G95-G96</f>
        <v>340190794.36610228</v>
      </c>
      <c r="H101" s="758">
        <f t="shared" ref="H101" si="35">G101/G$30</f>
        <v>0.2610831628564696</v>
      </c>
      <c r="I101" s="434"/>
      <c r="J101" s="779">
        <f>J89-J92-J95-J96</f>
        <v>372123495.64248055</v>
      </c>
      <c r="K101" s="758">
        <f t="shared" ref="K101" si="36">J101/J$30</f>
        <v>0.2719466592492587</v>
      </c>
      <c r="L101" s="434"/>
      <c r="M101" s="779">
        <f>M89-M92-M95-M96</f>
        <v>393432390.17761511</v>
      </c>
      <c r="N101" s="758">
        <f t="shared" ref="N101" si="37">M101/M$30</f>
        <v>0.2784045140302715</v>
      </c>
      <c r="O101" s="434"/>
      <c r="P101" s="779">
        <f>P89-P92-P95-P96</f>
        <v>411741793.37442446</v>
      </c>
      <c r="Q101" s="761">
        <f t="shared" ref="Q101" si="38">P101/P$30</f>
        <v>0.28370033936338207</v>
      </c>
      <c r="S101" s="561"/>
    </row>
    <row r="102" spans="2:19" ht="13" customHeight="1">
      <c r="B102" s="780"/>
      <c r="D102" s="763"/>
      <c r="E102" s="781"/>
      <c r="F102" s="781"/>
      <c r="G102" s="766"/>
      <c r="H102" s="781"/>
      <c r="I102" s="781"/>
      <c r="J102" s="766"/>
      <c r="K102" s="781"/>
      <c r="L102" s="781"/>
      <c r="M102" s="766"/>
      <c r="N102" s="781"/>
      <c r="O102" s="781"/>
      <c r="P102" s="766"/>
      <c r="Q102" s="782"/>
      <c r="S102" s="561"/>
    </row>
    <row r="103" spans="2:19" ht="13" customHeight="1">
      <c r="D103" s="39"/>
      <c r="G103" s="246"/>
      <c r="J103" s="246"/>
      <c r="M103" s="246"/>
      <c r="P103" s="246"/>
      <c r="S103" s="561"/>
    </row>
    <row r="104" spans="2:19" ht="13" customHeight="1">
      <c r="B104" s="778" t="s">
        <v>57</v>
      </c>
      <c r="C104" s="66"/>
      <c r="D104" s="757">
        <f>D101-D97-D98</f>
        <v>272157034.00322241</v>
      </c>
      <c r="E104" s="758">
        <f t="shared" ref="E104" si="39">D104/D$30</f>
        <v>0.21955007835994353</v>
      </c>
      <c r="F104" s="434"/>
      <c r="G104" s="760">
        <f>G101-G97-G98</f>
        <v>301100859.49889803</v>
      </c>
      <c r="H104" s="758">
        <f t="shared" ref="H104" si="40">G104/G$30</f>
        <v>0.23108316285646954</v>
      </c>
      <c r="I104" s="434"/>
      <c r="J104" s="760">
        <f>J101-J97-J98</f>
        <v>331072412.68344307</v>
      </c>
      <c r="K104" s="758">
        <f t="shared" ref="K104" si="41">J104/J$30</f>
        <v>0.24194665924925871</v>
      </c>
      <c r="L104" s="434"/>
      <c r="M104" s="760">
        <f>M101-M97-M98</f>
        <v>351037345.87871021</v>
      </c>
      <c r="N104" s="758">
        <f t="shared" ref="N104" si="42">M104/M$30</f>
        <v>0.24840451403027153</v>
      </c>
      <c r="O104" s="783"/>
      <c r="P104" s="760">
        <f>P101-P97-P98</f>
        <v>368202001.25097847</v>
      </c>
      <c r="Q104" s="761">
        <f t="shared" ref="Q104" si="43">P104/P$30</f>
        <v>0.25370033936338204</v>
      </c>
    </row>
    <row r="105" spans="2:19" ht="13" customHeight="1">
      <c r="B105" s="762"/>
      <c r="C105" s="66"/>
      <c r="D105" s="784"/>
      <c r="E105" s="785"/>
      <c r="F105" s="786"/>
      <c r="G105" s="785"/>
      <c r="H105" s="785"/>
      <c r="I105" s="786"/>
      <c r="J105" s="785"/>
      <c r="K105" s="785"/>
      <c r="L105" s="786"/>
      <c r="M105" s="785"/>
      <c r="N105" s="785"/>
      <c r="O105" s="786"/>
      <c r="P105" s="785"/>
      <c r="Q105" s="787"/>
    </row>
    <row r="106" spans="2:19" ht="13" customHeight="1">
      <c r="B106" s="788"/>
      <c r="C106" s="788"/>
      <c r="F106" s="789"/>
      <c r="G106" s="790"/>
      <c r="H106" s="790"/>
      <c r="I106" s="789"/>
      <c r="J106" s="789"/>
      <c r="K106" s="790"/>
      <c r="L106" s="789"/>
      <c r="M106" s="789"/>
      <c r="N106" s="790"/>
      <c r="O106" s="789"/>
      <c r="P106" s="790"/>
      <c r="Q106" s="789"/>
    </row>
    <row r="107" spans="2:19" ht="13" customHeight="1">
      <c r="B107" s="791" t="s">
        <v>321</v>
      </c>
      <c r="C107" s="368"/>
      <c r="D107" s="792" t="e">
        <f>D101/$T$8</f>
        <v>#DIV/0!</v>
      </c>
      <c r="E107" s="85"/>
      <c r="F107" s="793"/>
      <c r="G107" s="794" t="e">
        <f>G101/$T$8</f>
        <v>#DIV/0!</v>
      </c>
      <c r="H107" s="795"/>
      <c r="I107" s="793"/>
      <c r="J107" s="794" t="e">
        <f>J101/$T$8</f>
        <v>#DIV/0!</v>
      </c>
      <c r="K107" s="795"/>
      <c r="L107" s="793"/>
      <c r="M107" s="794" t="e">
        <f>M101/$T$8</f>
        <v>#DIV/0!</v>
      </c>
      <c r="N107" s="795"/>
      <c r="O107" s="793"/>
      <c r="P107" s="794" t="e">
        <f>P101/$T$8</f>
        <v>#DIV/0!</v>
      </c>
      <c r="Q107" s="796"/>
    </row>
    <row r="108" spans="2:19" ht="13" customHeight="1">
      <c r="B108" s="797" t="s">
        <v>322</v>
      </c>
      <c r="C108" s="368"/>
      <c r="D108" s="798">
        <f>D101/$T$14</f>
        <v>4.2964640376417078</v>
      </c>
      <c r="F108" s="789"/>
      <c r="G108" s="799">
        <f>G101/$T$14</f>
        <v>4.7248721439736432</v>
      </c>
      <c r="H108" s="800"/>
      <c r="I108" s="789"/>
      <c r="J108" s="799">
        <f>J101/$T$14</f>
        <v>5.1683818839233409</v>
      </c>
      <c r="K108" s="800"/>
      <c r="L108" s="789"/>
      <c r="M108" s="799">
        <f>M101/$T$14</f>
        <v>5.4643387524668761</v>
      </c>
      <c r="N108" s="800"/>
      <c r="O108" s="789"/>
      <c r="P108" s="799">
        <f>P101/$T$14</f>
        <v>5.7186360190892289</v>
      </c>
      <c r="Q108" s="801"/>
    </row>
    <row r="109" spans="2:19" ht="13" customHeight="1">
      <c r="B109" s="802"/>
      <c r="C109" s="368"/>
      <c r="D109" s="375"/>
      <c r="F109" s="789"/>
      <c r="G109" s="800"/>
      <c r="H109" s="800"/>
      <c r="I109" s="789"/>
      <c r="J109" s="789"/>
      <c r="K109" s="800"/>
      <c r="L109" s="789"/>
      <c r="M109" s="789"/>
      <c r="N109" s="800"/>
      <c r="O109" s="789"/>
      <c r="P109" s="800"/>
      <c r="Q109" s="801"/>
    </row>
    <row r="110" spans="2:19" ht="13" customHeight="1">
      <c r="B110" s="797" t="s">
        <v>323</v>
      </c>
      <c r="C110" s="368"/>
      <c r="D110" s="803" t="e">
        <f>D104/$T$8</f>
        <v>#DIV/0!</v>
      </c>
      <c r="F110" s="789"/>
      <c r="G110" s="804" t="e">
        <f>G104/$T$8</f>
        <v>#DIV/0!</v>
      </c>
      <c r="H110" s="800"/>
      <c r="I110" s="789"/>
      <c r="J110" s="804" t="e">
        <f>J104/$T$8</f>
        <v>#DIV/0!</v>
      </c>
      <c r="K110" s="800"/>
      <c r="L110" s="789"/>
      <c r="M110" s="804" t="e">
        <f>M104/$T$8</f>
        <v>#DIV/0!</v>
      </c>
      <c r="N110" s="800"/>
      <c r="O110" s="789"/>
      <c r="P110" s="804" t="e">
        <f>P104/$T$8</f>
        <v>#DIV/0!</v>
      </c>
      <c r="Q110" s="801"/>
    </row>
    <row r="111" spans="2:19" ht="13" customHeight="1">
      <c r="B111" s="805" t="s">
        <v>324</v>
      </c>
      <c r="C111" s="368"/>
      <c r="D111" s="806">
        <f>D104/$T$14</f>
        <v>3.7799588056003111</v>
      </c>
      <c r="E111" s="89"/>
      <c r="F111" s="807"/>
      <c r="G111" s="808">
        <f>G104/$T$14</f>
        <v>4.1819563819291394</v>
      </c>
      <c r="H111" s="809"/>
      <c r="I111" s="807"/>
      <c r="J111" s="808">
        <f>J104/$T$14</f>
        <v>4.5982279539367097</v>
      </c>
      <c r="K111" s="809"/>
      <c r="L111" s="807"/>
      <c r="M111" s="808">
        <f>M104/$T$14</f>
        <v>4.8755186927598642</v>
      </c>
      <c r="N111" s="809"/>
      <c r="O111" s="807"/>
      <c r="P111" s="808">
        <f>P104/$T$14</f>
        <v>5.1139166840413672</v>
      </c>
      <c r="Q111" s="810"/>
    </row>
    <row r="112" spans="2:19" ht="13" customHeight="1">
      <c r="B112" s="788"/>
      <c r="C112" s="788"/>
      <c r="F112" s="789"/>
      <c r="G112" s="790"/>
      <c r="H112" s="790"/>
      <c r="I112" s="789"/>
      <c r="J112" s="789"/>
      <c r="K112" s="790"/>
      <c r="L112" s="789"/>
      <c r="M112" s="789"/>
      <c r="N112" s="790"/>
      <c r="O112" s="789"/>
      <c r="P112" s="790"/>
      <c r="Q112" s="789"/>
    </row>
    <row r="113" spans="2:17" ht="13" customHeight="1">
      <c r="B113" s="788"/>
      <c r="C113" s="788"/>
      <c r="F113" s="789"/>
      <c r="G113" s="790"/>
      <c r="H113" s="790"/>
      <c r="I113" s="789"/>
      <c r="J113" s="789"/>
      <c r="K113" s="790"/>
      <c r="L113" s="789"/>
      <c r="M113" s="789"/>
      <c r="N113" s="790"/>
      <c r="O113" s="789"/>
      <c r="P113" s="790"/>
      <c r="Q113" s="789"/>
    </row>
    <row r="114" spans="2:17" ht="13" customHeight="1">
      <c r="B114" s="788"/>
      <c r="C114" s="788"/>
      <c r="F114" s="789"/>
      <c r="G114" s="790"/>
      <c r="H114" s="790"/>
      <c r="I114" s="789"/>
      <c r="J114" s="789"/>
      <c r="K114" s="790"/>
      <c r="L114" s="789"/>
      <c r="M114" s="789"/>
      <c r="N114" s="790"/>
      <c r="O114" s="789"/>
      <c r="P114" s="790"/>
      <c r="Q114" s="789"/>
    </row>
    <row r="115" spans="2:17" ht="13" customHeight="1">
      <c r="B115" s="788"/>
      <c r="C115" s="788"/>
      <c r="F115" s="789"/>
      <c r="G115" s="790"/>
      <c r="H115" s="790"/>
      <c r="I115" s="789"/>
      <c r="J115" s="789"/>
      <c r="K115" s="790"/>
      <c r="L115" s="789"/>
      <c r="M115" s="789"/>
      <c r="N115" s="790"/>
      <c r="O115" s="789"/>
      <c r="P115" s="790"/>
      <c r="Q115" s="789"/>
    </row>
    <row r="117" spans="2:17" ht="13" customHeight="1">
      <c r="B117" s="674" t="s">
        <v>58</v>
      </c>
      <c r="D117" s="811">
        <f>D68/D30</f>
        <v>2.4840222024700872E-2</v>
      </c>
      <c r="E117" s="85"/>
      <c r="F117" s="85"/>
      <c r="G117" s="812">
        <f>G68/G30</f>
        <v>2.4604765922775097E-2</v>
      </c>
      <c r="H117" s="85"/>
      <c r="I117" s="85"/>
      <c r="J117" s="812">
        <f>J68/J30</f>
        <v>2.4384780790792086E-2</v>
      </c>
      <c r="K117" s="85"/>
      <c r="L117" s="85"/>
      <c r="M117" s="812">
        <f>M68/M30</f>
        <v>2.4245779264456379E-2</v>
      </c>
      <c r="N117" s="85"/>
      <c r="O117" s="85"/>
      <c r="P117" s="812">
        <f>P68/P30</f>
        <v>2.4134149274063047E-2</v>
      </c>
      <c r="Q117" s="342"/>
    </row>
    <row r="118" spans="2:17" ht="13" customHeight="1">
      <c r="B118" s="813" t="s">
        <v>372</v>
      </c>
      <c r="D118" s="814">
        <f>'Undist Expense'!H137</f>
        <v>5.0000000000000001E-3</v>
      </c>
      <c r="G118" s="708">
        <f>D118</f>
        <v>5.0000000000000001E-3</v>
      </c>
      <c r="H118" s="708"/>
      <c r="I118" s="708"/>
      <c r="J118" s="708">
        <f>G118</f>
        <v>5.0000000000000001E-3</v>
      </c>
      <c r="K118" s="708"/>
      <c r="L118" s="708"/>
      <c r="M118" s="708">
        <f>J118</f>
        <v>5.0000000000000001E-3</v>
      </c>
      <c r="N118" s="708"/>
      <c r="O118" s="708"/>
      <c r="P118" s="708">
        <f>M118</f>
        <v>5.0000000000000001E-3</v>
      </c>
      <c r="Q118" s="71"/>
    </row>
    <row r="119" spans="2:17" ht="13" customHeight="1">
      <c r="B119" s="813" t="s">
        <v>373</v>
      </c>
      <c r="D119" s="814">
        <f>'Undist Expense'!H138</f>
        <v>0.01</v>
      </c>
      <c r="G119" s="708">
        <v>0.01</v>
      </c>
      <c r="H119" s="708"/>
      <c r="I119" s="708"/>
      <c r="J119" s="708">
        <v>0.01</v>
      </c>
      <c r="K119" s="708"/>
      <c r="L119" s="708"/>
      <c r="M119" s="708">
        <v>0.01</v>
      </c>
      <c r="N119" s="708"/>
      <c r="O119" s="708"/>
      <c r="P119" s="708">
        <v>0.01</v>
      </c>
      <c r="Q119" s="71"/>
    </row>
    <row r="120" spans="2:17" ht="13" customHeight="1">
      <c r="B120" s="813" t="s">
        <v>374</v>
      </c>
      <c r="D120" s="814">
        <f>'Undist Expense'!H139</f>
        <v>5.0000000000000001E-3</v>
      </c>
      <c r="G120" s="708">
        <f>D120</f>
        <v>5.0000000000000001E-3</v>
      </c>
      <c r="H120" s="708"/>
      <c r="I120" s="708"/>
      <c r="J120" s="708">
        <f>G120</f>
        <v>5.0000000000000001E-3</v>
      </c>
      <c r="K120" s="708"/>
      <c r="L120" s="708"/>
      <c r="M120" s="708">
        <f>J120</f>
        <v>5.0000000000000001E-3</v>
      </c>
      <c r="N120" s="708"/>
      <c r="O120" s="708"/>
      <c r="P120" s="708">
        <f>M120</f>
        <v>5.0000000000000001E-3</v>
      </c>
      <c r="Q120" s="71"/>
    </row>
    <row r="121" spans="2:17" ht="13" customHeight="1">
      <c r="B121" s="815" t="s">
        <v>242</v>
      </c>
      <c r="D121" s="816">
        <f>'Undist Expense'!E140</f>
        <v>6000000</v>
      </c>
      <c r="E121" s="89"/>
      <c r="F121" s="89"/>
      <c r="G121" s="817">
        <f>D121</f>
        <v>6000000</v>
      </c>
      <c r="H121" s="89"/>
      <c r="I121" s="89"/>
      <c r="J121" s="817">
        <f>G121</f>
        <v>6000000</v>
      </c>
      <c r="K121" s="89"/>
      <c r="L121" s="89"/>
      <c r="M121" s="817">
        <f>J121</f>
        <v>6000000</v>
      </c>
      <c r="N121" s="89"/>
      <c r="O121" s="89"/>
      <c r="P121" s="817">
        <f>M121</f>
        <v>6000000</v>
      </c>
      <c r="Q121" s="419"/>
    </row>
    <row r="123" spans="2:17" ht="13" customHeight="1">
      <c r="B123" s="674" t="s">
        <v>59</v>
      </c>
      <c r="C123" s="58"/>
      <c r="D123" s="818" t="s">
        <v>27</v>
      </c>
      <c r="E123" s="677" t="s">
        <v>40</v>
      </c>
      <c r="F123" s="819"/>
      <c r="G123" s="677" t="s">
        <v>27</v>
      </c>
      <c r="H123" s="677" t="s">
        <v>40</v>
      </c>
      <c r="I123" s="819"/>
      <c r="J123" s="677" t="s">
        <v>27</v>
      </c>
      <c r="K123" s="677" t="s">
        <v>40</v>
      </c>
      <c r="L123" s="819"/>
      <c r="M123" s="677" t="s">
        <v>27</v>
      </c>
      <c r="N123" s="677" t="s">
        <v>40</v>
      </c>
      <c r="O123" s="819"/>
      <c r="P123" s="677" t="s">
        <v>27</v>
      </c>
      <c r="Q123" s="715" t="s">
        <v>40</v>
      </c>
    </row>
    <row r="124" spans="2:17" ht="13" customHeight="1">
      <c r="B124" s="113" t="s">
        <v>39</v>
      </c>
      <c r="D124" s="592">
        <f>D27/D$13</f>
        <v>10000</v>
      </c>
      <c r="G124" s="59">
        <f>G27/G$13</f>
        <v>10300</v>
      </c>
      <c r="J124" s="59">
        <f>J27/J$13</f>
        <v>10609</v>
      </c>
      <c r="M124" s="59">
        <f>M27/M$13</f>
        <v>10821.18</v>
      </c>
      <c r="P124" s="59">
        <f>P27/P$13</f>
        <v>11037.6036</v>
      </c>
      <c r="Q124" s="71"/>
    </row>
    <row r="125" spans="2:17" ht="13" customHeight="1">
      <c r="B125" s="113" t="s">
        <v>60</v>
      </c>
      <c r="D125" s="820">
        <f>D33/D$13</f>
        <v>0</v>
      </c>
      <c r="E125" s="717">
        <f>D125/D$124</f>
        <v>0</v>
      </c>
      <c r="G125" s="821">
        <f>G33/G$13</f>
        <v>0</v>
      </c>
      <c r="H125" s="717">
        <f>G125/G$124</f>
        <v>0</v>
      </c>
      <c r="J125" s="821">
        <f>J33/J$13</f>
        <v>0</v>
      </c>
      <c r="K125" s="717">
        <f>J125/J$124</f>
        <v>0</v>
      </c>
      <c r="M125" s="821">
        <f>M33/M$13</f>
        <v>0</v>
      </c>
      <c r="N125" s="717">
        <f>M125/M$124</f>
        <v>0</v>
      </c>
      <c r="P125" s="821">
        <f>P33/P$13</f>
        <v>0</v>
      </c>
      <c r="Q125" s="718">
        <f>P125/P$124</f>
        <v>0</v>
      </c>
    </row>
    <row r="126" spans="2:17" ht="13" customHeight="1">
      <c r="B126" s="113" t="s">
        <v>61</v>
      </c>
      <c r="D126" s="592">
        <f>D39/D$13</f>
        <v>850.083494350975</v>
      </c>
      <c r="E126" s="717">
        <f>D126/D$124</f>
        <v>8.5008349435097497E-2</v>
      </c>
      <c r="G126" s="59">
        <f>G39/G$13</f>
        <v>821.46425593691561</v>
      </c>
      <c r="H126" s="717">
        <f>G126/G$124</f>
        <v>7.975381125601122E-2</v>
      </c>
      <c r="J126" s="59">
        <f>J39/J$13</f>
        <v>794.70926757434631</v>
      </c>
      <c r="K126" s="717">
        <f>J126/J$124</f>
        <v>7.4908970456626103E-2</v>
      </c>
      <c r="M126" s="59">
        <f>M39/M$13</f>
        <v>777.82026163341436</v>
      </c>
      <c r="N126" s="717">
        <f>M126/M$124</f>
        <v>7.1879431044804196E-2</v>
      </c>
      <c r="P126" s="59">
        <f>P39/P$13</f>
        <v>765.61720135425821</v>
      </c>
      <c r="Q126" s="718">
        <f>P126/P$124</f>
        <v>6.9364440788058215E-2</v>
      </c>
    </row>
    <row r="127" spans="2:17" ht="13" customHeight="1">
      <c r="B127" s="113" t="s">
        <v>62</v>
      </c>
      <c r="D127" s="592">
        <f>D45/D$13</f>
        <v>3649.9999906430248</v>
      </c>
      <c r="E127" s="717">
        <f>D127/D$124</f>
        <v>0.36499999906430247</v>
      </c>
      <c r="G127" s="59">
        <f>G45/G$13</f>
        <v>3759.4999903623152</v>
      </c>
      <c r="H127" s="717">
        <f>G127/G$124</f>
        <v>0.36499999906430247</v>
      </c>
      <c r="J127" s="59">
        <f>J45/J$13</f>
        <v>3872.2849900731844</v>
      </c>
      <c r="K127" s="717">
        <f>J127/J$124</f>
        <v>0.36499999906430242</v>
      </c>
      <c r="M127" s="59">
        <f>M45/M$13</f>
        <v>3949.7306898746488</v>
      </c>
      <c r="N127" s="717">
        <f>M127/M$124</f>
        <v>0.36499999906430247</v>
      </c>
      <c r="P127" s="59">
        <f>P45/P$13</f>
        <v>4028.7253036721418</v>
      </c>
      <c r="Q127" s="718">
        <f>P127/P$124</f>
        <v>0.36499999906430247</v>
      </c>
    </row>
    <row r="128" spans="2:17" ht="13" customHeight="1">
      <c r="B128" s="113" t="s">
        <v>63</v>
      </c>
      <c r="D128" s="822">
        <f>SUM(D125:D127)</f>
        <v>4500.0834849940002</v>
      </c>
      <c r="E128" s="717">
        <f>D128/D$124</f>
        <v>0.45000834849940002</v>
      </c>
      <c r="G128" s="131">
        <f>SUM(G125:G127)</f>
        <v>4580.9642462992306</v>
      </c>
      <c r="H128" s="717">
        <f>G128/G$124</f>
        <v>0.44475381032031364</v>
      </c>
      <c r="J128" s="131">
        <f>SUM(J125:J127)</f>
        <v>4666.9942576475305</v>
      </c>
      <c r="K128" s="717">
        <f>J128/J$124</f>
        <v>0.43990896952092851</v>
      </c>
      <c r="M128" s="131">
        <f>SUM(M125:M127)</f>
        <v>4727.550951508063</v>
      </c>
      <c r="N128" s="717">
        <f>M128/M$124</f>
        <v>0.43687943010910668</v>
      </c>
      <c r="P128" s="131">
        <f>SUM(P125:P127)</f>
        <v>4794.3425050263995</v>
      </c>
      <c r="Q128" s="718">
        <f>P128/P$124</f>
        <v>0.43436443985236067</v>
      </c>
    </row>
    <row r="129" spans="2:17" ht="13" customHeight="1">
      <c r="B129" s="697" t="s">
        <v>64</v>
      </c>
      <c r="D129" s="823">
        <f>D124-D128</f>
        <v>5499.9165150059998</v>
      </c>
      <c r="E129" s="710">
        <f>D129/D$124</f>
        <v>0.54999165150060003</v>
      </c>
      <c r="F129" s="89"/>
      <c r="G129" s="134">
        <f>G124-G128</f>
        <v>5719.0357537007694</v>
      </c>
      <c r="H129" s="710">
        <f>G129/G$124</f>
        <v>0.55524618967968631</v>
      </c>
      <c r="I129" s="89"/>
      <c r="J129" s="134">
        <f>J124-J128</f>
        <v>5942.0057423524695</v>
      </c>
      <c r="K129" s="710">
        <f>J129/J$124</f>
        <v>0.56009103047907149</v>
      </c>
      <c r="L129" s="89"/>
      <c r="M129" s="134">
        <f>M124-M128</f>
        <v>6093.6290484919373</v>
      </c>
      <c r="N129" s="710">
        <f>M129/M$124</f>
        <v>0.56312056989089332</v>
      </c>
      <c r="O129" s="89"/>
      <c r="P129" s="134">
        <f>P124-P128</f>
        <v>6243.2610949736008</v>
      </c>
      <c r="Q129" s="713">
        <f>P129/P$124</f>
        <v>0.56563556014763938</v>
      </c>
    </row>
    <row r="130" spans="2:17" ht="13" customHeight="1">
      <c r="D130" s="28"/>
    </row>
    <row r="131" spans="2:17" ht="13" customHeight="1">
      <c r="B131" s="674" t="s">
        <v>65</v>
      </c>
      <c r="C131" s="58"/>
      <c r="D131" s="818" t="s">
        <v>27</v>
      </c>
      <c r="E131" s="677" t="s">
        <v>40</v>
      </c>
      <c r="F131" s="819"/>
      <c r="G131" s="677" t="s">
        <v>27</v>
      </c>
      <c r="H131" s="677" t="s">
        <v>40</v>
      </c>
      <c r="I131" s="819"/>
      <c r="J131" s="677" t="s">
        <v>27</v>
      </c>
      <c r="K131" s="677" t="s">
        <v>40</v>
      </c>
      <c r="L131" s="819"/>
      <c r="M131" s="677" t="s">
        <v>27</v>
      </c>
      <c r="N131" s="677" t="s">
        <v>40</v>
      </c>
      <c r="O131" s="819"/>
      <c r="P131" s="677" t="s">
        <v>27</v>
      </c>
      <c r="Q131" s="715" t="s">
        <v>40</v>
      </c>
    </row>
    <row r="132" spans="2:17" ht="13" customHeight="1">
      <c r="B132" s="113" t="s">
        <v>12</v>
      </c>
      <c r="D132" s="592">
        <f>D63/D$13</f>
        <v>806.90379906529893</v>
      </c>
      <c r="E132" s="717">
        <f>E63</f>
        <v>4.2349750523298278E-2</v>
      </c>
      <c r="G132" s="59">
        <f>G63/G$13</f>
        <v>779.73826490763224</v>
      </c>
      <c r="H132" s="717">
        <f>H63</f>
        <v>4.0289616272254039E-2</v>
      </c>
      <c r="J132" s="59">
        <f>J63/J$13</f>
        <v>754.34228686880715</v>
      </c>
      <c r="K132" s="717">
        <f>K63</f>
        <v>3.8364846001226874E-2</v>
      </c>
      <c r="M132" s="59">
        <f>M63/M$13</f>
        <v>744.30701064088157</v>
      </c>
      <c r="N132" s="717">
        <f>N63</f>
        <v>3.7450331446101215E-2</v>
      </c>
      <c r="P132" s="59">
        <f>P63/P$13</f>
        <v>738.5905414485195</v>
      </c>
      <c r="Q132" s="718">
        <f>Q63</f>
        <v>3.67623791297539E-2</v>
      </c>
    </row>
    <row r="133" spans="2:17" ht="13" customHeight="1">
      <c r="B133" s="113" t="s">
        <v>13</v>
      </c>
      <c r="D133" s="592">
        <f>D66/D$13</f>
        <v>473.28896330404183</v>
      </c>
      <c r="E133" s="717">
        <f>E66</f>
        <v>2.4840222024700872E-2</v>
      </c>
      <c r="G133" s="59">
        <f>G66/G$13</f>
        <v>476.18417012065902</v>
      </c>
      <c r="H133" s="717">
        <f>H66</f>
        <v>2.4604765922775097E-2</v>
      </c>
      <c r="J133" s="59">
        <f>J66/J$13</f>
        <v>479.46162239077995</v>
      </c>
      <c r="K133" s="717">
        <f>K66</f>
        <v>2.4384780790792086E-2</v>
      </c>
      <c r="M133" s="59">
        <f>M66/M$13</f>
        <v>481.87299786541462</v>
      </c>
      <c r="N133" s="717">
        <f>N66</f>
        <v>2.4245779264456379E-2</v>
      </c>
      <c r="P133" s="59">
        <f>P66/P$13</f>
        <v>484.87760590289486</v>
      </c>
      <c r="Q133" s="718">
        <f>Q66</f>
        <v>2.4134149274063047E-2</v>
      </c>
    </row>
    <row r="134" spans="2:17" ht="13" customHeight="1">
      <c r="B134" s="113" t="s">
        <v>14</v>
      </c>
      <c r="D134" s="592">
        <f>D69/D$13</f>
        <v>424.16326117983635</v>
      </c>
      <c r="E134" s="717">
        <f>E69</f>
        <v>2.2261895795908877E-2</v>
      </c>
      <c r="G134" s="59">
        <f>G69/G$13</f>
        <v>409.88321742077153</v>
      </c>
      <c r="H134" s="717">
        <f>H69</f>
        <v>2.1178949770120629E-2</v>
      </c>
      <c r="J134" s="59">
        <f>J69/J$13</f>
        <v>396.53337215014858</v>
      </c>
      <c r="K134" s="717">
        <f>K69</f>
        <v>2.0167160215868188E-2</v>
      </c>
      <c r="M134" s="59">
        <f>M69/M$13</f>
        <v>391.98738569610038</v>
      </c>
      <c r="N134" s="717">
        <f>N69</f>
        <v>1.9723121382894792E-2</v>
      </c>
      <c r="P134" s="59">
        <f>P69/P$13</f>
        <v>389.69595291631231</v>
      </c>
      <c r="Q134" s="718">
        <f>Q69</f>
        <v>1.939660686466934E-2</v>
      </c>
    </row>
    <row r="135" spans="2:17" ht="13" customHeight="1">
      <c r="B135" s="113" t="s">
        <v>345</v>
      </c>
      <c r="D135" s="592">
        <f>D72/D$13</f>
        <v>1500</v>
      </c>
      <c r="E135" s="717">
        <f>E72</f>
        <v>7.8726393231179567E-2</v>
      </c>
      <c r="F135" s="59"/>
      <c r="G135" s="824">
        <f>D135</f>
        <v>1500</v>
      </c>
      <c r="H135" s="717">
        <f>H72</f>
        <v>7.7506039049577896E-2</v>
      </c>
      <c r="I135" s="824"/>
      <c r="J135" s="824">
        <f>G135</f>
        <v>1500</v>
      </c>
      <c r="K135" s="717">
        <f>K72</f>
        <v>7.6288006126121827E-2</v>
      </c>
      <c r="L135" s="824"/>
      <c r="M135" s="824">
        <f>J135</f>
        <v>1500</v>
      </c>
      <c r="N135" s="717">
        <f>N72</f>
        <v>7.547355643040661E-2</v>
      </c>
      <c r="O135" s="824"/>
      <c r="P135" s="824">
        <f>M135</f>
        <v>1500</v>
      </c>
      <c r="Q135" s="718">
        <f>Q72</f>
        <v>7.4660540042231785E-2</v>
      </c>
    </row>
    <row r="136" spans="2:17" ht="13" customHeight="1">
      <c r="B136" s="697" t="s">
        <v>35</v>
      </c>
      <c r="D136" s="823">
        <f>SUM(D132:D135)</f>
        <v>3204.3560235491768</v>
      </c>
      <c r="E136" s="825">
        <f>SUM(E132:E135)</f>
        <v>0.16817826157508758</v>
      </c>
      <c r="F136" s="89"/>
      <c r="G136" s="134">
        <f>SUM(G132:G135)</f>
        <v>3165.8056524490626</v>
      </c>
      <c r="H136" s="825">
        <f>SUM(H132:H135)</f>
        <v>0.16357937101472766</v>
      </c>
      <c r="I136" s="89"/>
      <c r="J136" s="134">
        <f>SUM(J132:J135)</f>
        <v>3130.3372814097356</v>
      </c>
      <c r="K136" s="825">
        <f>SUM(K132:K135)</f>
        <v>0.15920479313400898</v>
      </c>
      <c r="L136" s="89"/>
      <c r="M136" s="134">
        <f>SUM(M132:M135)</f>
        <v>3118.1673942023963</v>
      </c>
      <c r="N136" s="825">
        <f>SUM(N132:N135)</f>
        <v>0.15689278852385902</v>
      </c>
      <c r="O136" s="89"/>
      <c r="P136" s="134">
        <f>SUM(P132:P135)</f>
        <v>3113.1641002677266</v>
      </c>
      <c r="Q136" s="826">
        <f>SUM(Q132:Q135)</f>
        <v>0.15495367531071808</v>
      </c>
    </row>
    <row r="138" spans="2:17" ht="13" customHeight="1">
      <c r="B138" s="674" t="s">
        <v>67</v>
      </c>
      <c r="D138" s="15"/>
      <c r="E138" s="677" t="s">
        <v>40</v>
      </c>
      <c r="F138" s="85"/>
      <c r="G138" s="85"/>
      <c r="H138" s="677" t="s">
        <v>40</v>
      </c>
      <c r="I138" s="85"/>
      <c r="J138" s="85"/>
      <c r="K138" s="677" t="s">
        <v>40</v>
      </c>
      <c r="L138" s="85"/>
      <c r="M138" s="85"/>
      <c r="N138" s="677" t="s">
        <v>40</v>
      </c>
      <c r="O138" s="85"/>
      <c r="P138" s="85"/>
      <c r="Q138" s="715" t="s">
        <v>40</v>
      </c>
    </row>
    <row r="139" spans="2:17" ht="13" customHeight="1">
      <c r="B139" s="113" t="s">
        <v>67</v>
      </c>
      <c r="D139" s="822">
        <f>D42+ D64+D67+D70</f>
        <v>189631360</v>
      </c>
      <c r="E139" s="717">
        <f>D139/D30</f>
        <v>0.15297631420766333</v>
      </c>
      <c r="G139" s="131">
        <f>G42+ G64+G67+G70</f>
        <v>189631360</v>
      </c>
      <c r="H139" s="717">
        <f>G139/G30</f>
        <v>0.14553467073624937</v>
      </c>
      <c r="J139" s="131">
        <f>J42+ J64+J67+J70</f>
        <v>189631360</v>
      </c>
      <c r="K139" s="717">
        <f>J139/J30</f>
        <v>0.13858199077662989</v>
      </c>
      <c r="M139" s="131">
        <f>M42+ M64+M67+M70</f>
        <v>189631360</v>
      </c>
      <c r="N139" s="717">
        <f>M139/M30</f>
        <v>0.13418881602977709</v>
      </c>
      <c r="P139" s="131">
        <f>P42+ P64+P67+P70</f>
        <v>189631360</v>
      </c>
      <c r="Q139" s="718">
        <f>P139/P30</f>
        <v>0.13066072488059793</v>
      </c>
    </row>
    <row r="140" spans="2:17" ht="13" customHeight="1">
      <c r="B140" s="113" t="s">
        <v>68</v>
      </c>
      <c r="D140" s="822">
        <f>D24</f>
        <v>189631360</v>
      </c>
      <c r="G140" s="131">
        <f>G24</f>
        <v>189631360</v>
      </c>
      <c r="J140" s="131">
        <f>J24</f>
        <v>189631360</v>
      </c>
      <c r="M140" s="131">
        <f>M24</f>
        <v>189631360</v>
      </c>
      <c r="P140" s="131">
        <f>P24</f>
        <v>189631360</v>
      </c>
      <c r="Q140" s="71"/>
    </row>
    <row r="141" spans="2:17" ht="13" customHeight="1">
      <c r="B141" s="113" t="s">
        <v>69</v>
      </c>
      <c r="D141" s="822">
        <f>D23</f>
        <v>48</v>
      </c>
      <c r="G141" s="131">
        <f>G23</f>
        <v>48</v>
      </c>
      <c r="J141" s="131">
        <f>J23</f>
        <v>48</v>
      </c>
      <c r="M141" s="131">
        <f>M23</f>
        <v>48</v>
      </c>
      <c r="P141" s="131">
        <f>P23</f>
        <v>48</v>
      </c>
      <c r="Q141" s="71"/>
    </row>
    <row r="142" spans="2:17" ht="13" customHeight="1">
      <c r="B142" s="697" t="s">
        <v>70</v>
      </c>
      <c r="D142" s="823">
        <f>D139/D141</f>
        <v>3950653.3333333335</v>
      </c>
      <c r="E142" s="89"/>
      <c r="F142" s="89"/>
      <c r="G142" s="134">
        <f>G139/G141</f>
        <v>3950653.3333333335</v>
      </c>
      <c r="H142" s="89"/>
      <c r="I142" s="89"/>
      <c r="J142" s="134">
        <f>J139/J141</f>
        <v>3950653.3333333335</v>
      </c>
      <c r="K142" s="89"/>
      <c r="L142" s="89"/>
      <c r="M142" s="134">
        <f>M139/M141</f>
        <v>3950653.3333333335</v>
      </c>
      <c r="N142" s="89"/>
      <c r="O142" s="89"/>
      <c r="P142" s="134">
        <f>P139/P141</f>
        <v>3950653.3333333335</v>
      </c>
      <c r="Q142" s="419"/>
    </row>
    <row r="151" spans="4:4" ht="13" customHeight="1">
      <c r="D151" s="39"/>
    </row>
    <row r="152" spans="4:4" ht="13" customHeight="1">
      <c r="D152" s="39"/>
    </row>
    <row r="153" spans="4:4" ht="13" customHeight="1">
      <c r="D153" s="39"/>
    </row>
    <row r="154" spans="4:4" ht="13" customHeight="1">
      <c r="D154" s="39"/>
    </row>
    <row r="155" spans="4:4" ht="13" customHeight="1">
      <c r="D155" s="39"/>
    </row>
    <row r="156" spans="4:4" ht="13" customHeight="1">
      <c r="D156" s="39"/>
    </row>
    <row r="157" spans="4:4" ht="13" customHeight="1">
      <c r="D157" s="603"/>
    </row>
    <row r="158" spans="4:4" ht="13" customHeight="1">
      <c r="D158" s="603"/>
    </row>
  </sheetData>
  <phoneticPr fontId="25"/>
  <pageMargins left="0.7" right="0.7" top="0.75" bottom="0.75" header="0.3" footer="0.3"/>
  <pageSetup paperSize="8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6933-8B03-41A2-B205-F0FB6626B887}">
  <sheetPr>
    <pageSetUpPr fitToPage="1"/>
  </sheetPr>
  <dimension ref="A1:AT209"/>
  <sheetViews>
    <sheetView tabSelected="1" zoomScale="85" zoomScaleNormal="85" workbookViewId="0">
      <pane xSplit="6" ySplit="6" topLeftCell="G58" activePane="bottomRight" state="frozen"/>
      <selection activeCell="C59" sqref="C59"/>
      <selection pane="topRight" activeCell="C59" sqref="C59"/>
      <selection pane="bottomLeft" activeCell="C59" sqref="C59"/>
      <selection pane="bottomRight" activeCell="C59" sqref="C59"/>
    </sheetView>
  </sheetViews>
  <sheetFormatPr defaultColWidth="9" defaultRowHeight="12"/>
  <cols>
    <col min="1" max="1" width="2.90625" style="56" customWidth="1"/>
    <col min="2" max="2" width="4.36328125" style="56" customWidth="1"/>
    <col min="3" max="3" width="19.36328125" style="56" customWidth="1"/>
    <col min="4" max="4" width="14.6328125" style="56" customWidth="1"/>
    <col min="5" max="5" width="14" style="56" customWidth="1"/>
    <col min="6" max="6" width="3.08984375" style="56" customWidth="1"/>
    <col min="7" max="19" width="13.36328125" style="56" customWidth="1"/>
    <col min="20" max="20" width="9" style="56" customWidth="1"/>
    <col min="21" max="21" width="15.36328125" style="56" customWidth="1"/>
    <col min="22" max="23" width="11.36328125" style="56" customWidth="1"/>
    <col min="24" max="32" width="9" style="56"/>
    <col min="33" max="33" width="6" style="56" customWidth="1"/>
    <col min="34" max="16384" width="9" style="56"/>
  </cols>
  <sheetData>
    <row r="1" spans="1:21">
      <c r="A1" s="55" t="str">
        <f>'Room Types'!$A$1</f>
        <v>Hotel xxxx</v>
      </c>
      <c r="G1" s="507" t="s">
        <v>30</v>
      </c>
    </row>
    <row r="2" spans="1:21" ht="15" customHeight="1">
      <c r="A2" s="58" t="s">
        <v>71</v>
      </c>
      <c r="B2" s="58"/>
      <c r="D2" s="58" t="s">
        <v>72</v>
      </c>
      <c r="E2" s="508">
        <f>E30</f>
        <v>207</v>
      </c>
      <c r="I2" s="509"/>
    </row>
    <row r="3" spans="1:21">
      <c r="A3" s="58" t="s">
        <v>27</v>
      </c>
      <c r="B3" s="58"/>
    </row>
    <row r="4" spans="1:21">
      <c r="A4" s="58"/>
      <c r="B4" s="58"/>
      <c r="G4" s="84"/>
    </row>
    <row r="5" spans="1:21">
      <c r="A5" s="58"/>
      <c r="B5" s="58"/>
      <c r="G5" s="84" t="s">
        <v>73</v>
      </c>
    </row>
    <row r="6" spans="1:21">
      <c r="C6" s="58" t="s">
        <v>30</v>
      </c>
      <c r="G6" s="60">
        <v>1</v>
      </c>
      <c r="H6" s="60">
        <f t="shared" ref="H6:R6" si="0">G6+1</f>
        <v>2</v>
      </c>
      <c r="I6" s="60">
        <f t="shared" si="0"/>
        <v>3</v>
      </c>
      <c r="J6" s="60">
        <f t="shared" si="0"/>
        <v>4</v>
      </c>
      <c r="K6" s="60">
        <f t="shared" si="0"/>
        <v>5</v>
      </c>
      <c r="L6" s="60">
        <f t="shared" si="0"/>
        <v>6</v>
      </c>
      <c r="M6" s="60">
        <f t="shared" si="0"/>
        <v>7</v>
      </c>
      <c r="N6" s="60">
        <f t="shared" si="0"/>
        <v>8</v>
      </c>
      <c r="O6" s="60">
        <f t="shared" si="0"/>
        <v>9</v>
      </c>
      <c r="P6" s="60">
        <f t="shared" si="0"/>
        <v>10</v>
      </c>
      <c r="Q6" s="60">
        <f t="shared" si="0"/>
        <v>11</v>
      </c>
      <c r="R6" s="60">
        <f t="shared" si="0"/>
        <v>12</v>
      </c>
      <c r="S6" s="60" t="s">
        <v>16</v>
      </c>
    </row>
    <row r="7" spans="1:21">
      <c r="C7" s="62" t="s">
        <v>74</v>
      </c>
      <c r="D7" s="85"/>
      <c r="E7" s="85"/>
      <c r="F7" s="85"/>
      <c r="G7" s="510">
        <v>31</v>
      </c>
      <c r="H7" s="510">
        <v>28</v>
      </c>
      <c r="I7" s="510">
        <v>31</v>
      </c>
      <c r="J7" s="510">
        <v>30</v>
      </c>
      <c r="K7" s="510">
        <v>31</v>
      </c>
      <c r="L7" s="510">
        <v>30</v>
      </c>
      <c r="M7" s="510">
        <v>31</v>
      </c>
      <c r="N7" s="510">
        <v>31</v>
      </c>
      <c r="O7" s="510">
        <v>30</v>
      </c>
      <c r="P7" s="510">
        <v>31</v>
      </c>
      <c r="Q7" s="510">
        <v>30</v>
      </c>
      <c r="R7" s="510">
        <v>31</v>
      </c>
      <c r="S7" s="41">
        <f t="shared" ref="S7:S9" si="1">SUM(G7:R7)</f>
        <v>365</v>
      </c>
    </row>
    <row r="8" spans="1:21">
      <c r="C8" s="66" t="s">
        <v>304</v>
      </c>
      <c r="G8" s="511">
        <f>E30</f>
        <v>207</v>
      </c>
      <c r="H8" s="511">
        <f>G8</f>
        <v>207</v>
      </c>
      <c r="I8" s="511">
        <f t="shared" ref="I8:R8" si="2">H8</f>
        <v>207</v>
      </c>
      <c r="J8" s="511">
        <f t="shared" si="2"/>
        <v>207</v>
      </c>
      <c r="K8" s="511">
        <f t="shared" si="2"/>
        <v>207</v>
      </c>
      <c r="L8" s="511">
        <f t="shared" si="2"/>
        <v>207</v>
      </c>
      <c r="M8" s="511">
        <f t="shared" si="2"/>
        <v>207</v>
      </c>
      <c r="N8" s="511">
        <f t="shared" si="2"/>
        <v>207</v>
      </c>
      <c r="O8" s="511">
        <f t="shared" si="2"/>
        <v>207</v>
      </c>
      <c r="P8" s="511">
        <f t="shared" si="2"/>
        <v>207</v>
      </c>
      <c r="Q8" s="511">
        <f t="shared" si="2"/>
        <v>207</v>
      </c>
      <c r="R8" s="511">
        <f t="shared" si="2"/>
        <v>207</v>
      </c>
      <c r="S8" s="46">
        <f>SUM(G8:R8)</f>
        <v>2484</v>
      </c>
    </row>
    <row r="9" spans="1:21">
      <c r="C9" s="66" t="s">
        <v>75</v>
      </c>
      <c r="G9" s="59">
        <f>G7*G8</f>
        <v>6417</v>
      </c>
      <c r="H9" s="59">
        <f t="shared" ref="H9:R9" si="3">H7*H8</f>
        <v>5796</v>
      </c>
      <c r="I9" s="59">
        <f t="shared" si="3"/>
        <v>6417</v>
      </c>
      <c r="J9" s="59">
        <f t="shared" si="3"/>
        <v>6210</v>
      </c>
      <c r="K9" s="59">
        <f t="shared" si="3"/>
        <v>6417</v>
      </c>
      <c r="L9" s="59">
        <f t="shared" si="3"/>
        <v>6210</v>
      </c>
      <c r="M9" s="59">
        <f t="shared" si="3"/>
        <v>6417</v>
      </c>
      <c r="N9" s="59">
        <f t="shared" si="3"/>
        <v>6417</v>
      </c>
      <c r="O9" s="59">
        <f t="shared" si="3"/>
        <v>6210</v>
      </c>
      <c r="P9" s="59">
        <f t="shared" si="3"/>
        <v>6417</v>
      </c>
      <c r="Q9" s="59">
        <f t="shared" si="3"/>
        <v>6210</v>
      </c>
      <c r="R9" s="59">
        <f t="shared" si="3"/>
        <v>6417</v>
      </c>
      <c r="S9" s="69">
        <f t="shared" si="1"/>
        <v>75555</v>
      </c>
    </row>
    <row r="10" spans="1:21">
      <c r="C10" s="66" t="s">
        <v>76</v>
      </c>
      <c r="G10" s="59">
        <f>G30</f>
        <v>5133.6000000000004</v>
      </c>
      <c r="H10" s="59">
        <f t="shared" ref="H10:R10" si="4">H30</f>
        <v>4876.5553977272721</v>
      </c>
      <c r="I10" s="59">
        <f t="shared" si="4"/>
        <v>5199.7492694805205</v>
      </c>
      <c r="J10" s="59">
        <f t="shared" si="4"/>
        <v>4419.7608360389604</v>
      </c>
      <c r="K10" s="59">
        <f t="shared" si="4"/>
        <v>5652.8978084415594</v>
      </c>
      <c r="L10" s="59">
        <f t="shared" si="4"/>
        <v>5785.9776379870109</v>
      </c>
      <c r="M10" s="59">
        <f t="shared" si="4"/>
        <v>5873.7426136363656</v>
      </c>
      <c r="N10" s="59">
        <f t="shared" si="4"/>
        <v>5879.9929383116851</v>
      </c>
      <c r="O10" s="59">
        <f t="shared" si="4"/>
        <v>5784.675487012988</v>
      </c>
      <c r="P10" s="59">
        <f t="shared" si="4"/>
        <v>5785.717207792206</v>
      </c>
      <c r="Q10" s="59">
        <f t="shared" si="4"/>
        <v>5192.4572240259758</v>
      </c>
      <c r="R10" s="59">
        <f t="shared" si="4"/>
        <v>5475.0239853896119</v>
      </c>
      <c r="S10" s="69">
        <f>SUM(G10:R10)</f>
        <v>65060.15040584415</v>
      </c>
    </row>
    <row r="11" spans="1:21">
      <c r="C11" s="66" t="s">
        <v>77</v>
      </c>
      <c r="G11" s="70">
        <f t="shared" ref="G11:S11" si="5">G10/G9</f>
        <v>0.8</v>
      </c>
      <c r="H11" s="70">
        <f t="shared" si="5"/>
        <v>0.8413656655844155</v>
      </c>
      <c r="I11" s="70">
        <f t="shared" si="5"/>
        <v>0.81030844155844173</v>
      </c>
      <c r="J11" s="70">
        <f t="shared" si="5"/>
        <v>0.71171672077922066</v>
      </c>
      <c r="K11" s="70">
        <f t="shared" si="5"/>
        <v>0.88092532467532481</v>
      </c>
      <c r="L11" s="70">
        <f t="shared" si="5"/>
        <v>0.93171942640692607</v>
      </c>
      <c r="M11" s="70">
        <f t="shared" si="5"/>
        <v>0.91534090909090937</v>
      </c>
      <c r="N11" s="70">
        <f t="shared" si="5"/>
        <v>0.91631493506493455</v>
      </c>
      <c r="O11" s="70">
        <f t="shared" si="5"/>
        <v>0.93150974025974043</v>
      </c>
      <c r="P11" s="70">
        <f t="shared" si="5"/>
        <v>0.90162337662337633</v>
      </c>
      <c r="Q11" s="70">
        <f t="shared" si="5"/>
        <v>0.83614448051948076</v>
      </c>
      <c r="R11" s="70">
        <f t="shared" si="5"/>
        <v>0.85320616883116907</v>
      </c>
      <c r="S11" s="512">
        <f t="shared" si="5"/>
        <v>0.86109655755203696</v>
      </c>
    </row>
    <row r="12" spans="1:21">
      <c r="C12" s="66" t="s">
        <v>78</v>
      </c>
      <c r="G12" s="59">
        <f>G63</f>
        <v>10000</v>
      </c>
      <c r="H12" s="59">
        <f t="shared" ref="H12:R12" si="6">H63</f>
        <v>9999.9999999999964</v>
      </c>
      <c r="I12" s="59">
        <f>I63</f>
        <v>10000</v>
      </c>
      <c r="J12" s="59">
        <f t="shared" si="6"/>
        <v>9999.9999999999964</v>
      </c>
      <c r="K12" s="59">
        <f t="shared" si="6"/>
        <v>10000</v>
      </c>
      <c r="L12" s="59">
        <f t="shared" si="6"/>
        <v>9999.9999999999982</v>
      </c>
      <c r="M12" s="59">
        <f t="shared" si="6"/>
        <v>9999.9999999999982</v>
      </c>
      <c r="N12" s="59">
        <f t="shared" si="6"/>
        <v>10000.000000000002</v>
      </c>
      <c r="O12" s="59">
        <f t="shared" si="6"/>
        <v>10000</v>
      </c>
      <c r="P12" s="59">
        <f t="shared" si="6"/>
        <v>9999.9999999999982</v>
      </c>
      <c r="Q12" s="59">
        <f t="shared" si="6"/>
        <v>9999.9999999999964</v>
      </c>
      <c r="R12" s="59">
        <f t="shared" si="6"/>
        <v>9999.9999999999964</v>
      </c>
      <c r="S12" s="513">
        <f>S63</f>
        <v>10000</v>
      </c>
    </row>
    <row r="13" spans="1:21">
      <c r="C13" s="66" t="s">
        <v>79</v>
      </c>
      <c r="G13" s="59">
        <f>G11*G12</f>
        <v>8000</v>
      </c>
      <c r="H13" s="59">
        <f t="shared" ref="H13:S13" si="7">H11*H12</f>
        <v>8413.6566558441518</v>
      </c>
      <c r="I13" s="59">
        <f t="shared" si="7"/>
        <v>8103.084415584417</v>
      </c>
      <c r="J13" s="59">
        <f t="shared" si="7"/>
        <v>7117.167207792204</v>
      </c>
      <c r="K13" s="59">
        <f t="shared" si="7"/>
        <v>8809.2532467532474</v>
      </c>
      <c r="L13" s="59">
        <f t="shared" si="7"/>
        <v>9317.1942640692596</v>
      </c>
      <c r="M13" s="59">
        <f t="shared" si="7"/>
        <v>9153.4090909090919</v>
      </c>
      <c r="N13" s="59">
        <f t="shared" si="7"/>
        <v>9163.149350649348</v>
      </c>
      <c r="O13" s="59">
        <f t="shared" si="7"/>
        <v>9315.0974025974047</v>
      </c>
      <c r="P13" s="59">
        <f t="shared" si="7"/>
        <v>9016.2337662337613</v>
      </c>
      <c r="Q13" s="59">
        <f t="shared" si="7"/>
        <v>8361.4448051948038</v>
      </c>
      <c r="R13" s="59">
        <f t="shared" si="7"/>
        <v>8532.0616883116872</v>
      </c>
      <c r="S13" s="513">
        <f t="shared" si="7"/>
        <v>8610.9655755203694</v>
      </c>
    </row>
    <row r="14" spans="1:21">
      <c r="C14" s="66" t="s">
        <v>80</v>
      </c>
      <c r="E14" s="514">
        <v>2</v>
      </c>
      <c r="G14" s="381">
        <f>$E$14*G10</f>
        <v>10267.200000000001</v>
      </c>
      <c r="H14" s="381">
        <f t="shared" ref="H14:R14" si="8">$E$14*H10</f>
        <v>9753.1107954545441</v>
      </c>
      <c r="I14" s="381">
        <f t="shared" si="8"/>
        <v>10399.498538961041</v>
      </c>
      <c r="J14" s="381">
        <f t="shared" si="8"/>
        <v>8839.5216720779208</v>
      </c>
      <c r="K14" s="381">
        <f t="shared" si="8"/>
        <v>11305.795616883119</v>
      </c>
      <c r="L14" s="381">
        <f t="shared" si="8"/>
        <v>11571.955275974022</v>
      </c>
      <c r="M14" s="381">
        <f t="shared" si="8"/>
        <v>11747.485227272731</v>
      </c>
      <c r="N14" s="381">
        <f t="shared" si="8"/>
        <v>11759.98587662337</v>
      </c>
      <c r="O14" s="381">
        <f t="shared" si="8"/>
        <v>11569.350974025976</v>
      </c>
      <c r="P14" s="381">
        <f t="shared" si="8"/>
        <v>11571.434415584412</v>
      </c>
      <c r="Q14" s="381">
        <f t="shared" si="8"/>
        <v>10384.914448051952</v>
      </c>
      <c r="R14" s="381">
        <f t="shared" si="8"/>
        <v>10950.047970779224</v>
      </c>
      <c r="S14" s="69">
        <f t="shared" ref="S14" si="9">SUM(G14:R14)</f>
        <v>130120.3008116883</v>
      </c>
      <c r="U14" s="515"/>
    </row>
    <row r="15" spans="1:21">
      <c r="C15" s="72" t="s">
        <v>81</v>
      </c>
      <c r="D15" s="89"/>
      <c r="E15" s="516"/>
      <c r="F15" s="89"/>
      <c r="G15" s="73">
        <f t="shared" ref="G15:S15" si="10">G14/G7</f>
        <v>331.20000000000005</v>
      </c>
      <c r="H15" s="73">
        <f t="shared" si="10"/>
        <v>348.32538555194799</v>
      </c>
      <c r="I15" s="73">
        <f t="shared" si="10"/>
        <v>335.46769480519487</v>
      </c>
      <c r="J15" s="73">
        <f t="shared" si="10"/>
        <v>294.65072240259735</v>
      </c>
      <c r="K15" s="73">
        <f t="shared" si="10"/>
        <v>364.7030844155845</v>
      </c>
      <c r="L15" s="73">
        <f t="shared" si="10"/>
        <v>385.7318425324674</v>
      </c>
      <c r="M15" s="73">
        <f t="shared" si="10"/>
        <v>378.95113636363646</v>
      </c>
      <c r="N15" s="73">
        <f t="shared" si="10"/>
        <v>379.3543831168829</v>
      </c>
      <c r="O15" s="73">
        <f t="shared" si="10"/>
        <v>385.64503246753253</v>
      </c>
      <c r="P15" s="73">
        <f t="shared" si="10"/>
        <v>373.27207792207781</v>
      </c>
      <c r="Q15" s="73">
        <f t="shared" si="10"/>
        <v>346.16381493506503</v>
      </c>
      <c r="R15" s="73">
        <f t="shared" si="10"/>
        <v>353.22735389610398</v>
      </c>
      <c r="S15" s="75">
        <f t="shared" si="10"/>
        <v>356.49397482654331</v>
      </c>
    </row>
    <row r="16" spans="1:21">
      <c r="G16" s="517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</row>
    <row r="17" spans="2:23">
      <c r="G17" s="517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</row>
    <row r="18" spans="2:23">
      <c r="C18" s="58" t="s">
        <v>82</v>
      </c>
      <c r="G18" s="70"/>
      <c r="H18" s="70"/>
      <c r="I18" s="518"/>
      <c r="J18" s="519"/>
      <c r="K18" s="518"/>
      <c r="L18" s="70"/>
      <c r="M18" s="70"/>
      <c r="N18" s="70"/>
      <c r="O18" s="70"/>
      <c r="P18" s="70"/>
      <c r="Q18" s="70"/>
      <c r="R18" s="70"/>
      <c r="S18" s="70"/>
      <c r="U18" s="520"/>
      <c r="V18" s="520"/>
    </row>
    <row r="19" spans="2:23">
      <c r="C19" s="521" t="s">
        <v>83</v>
      </c>
      <c r="D19" s="521" t="s">
        <v>84</v>
      </c>
      <c r="E19" s="521" t="s">
        <v>328</v>
      </c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U19" s="340"/>
      <c r="V19" s="340"/>
    </row>
    <row r="20" spans="2:23">
      <c r="B20" s="340">
        <v>1</v>
      </c>
      <c r="C20" s="1" t="str">
        <f>'Room Types'!C7</f>
        <v>King</v>
      </c>
      <c r="D20" s="522">
        <f>'Room Types'!H7</f>
        <v>27</v>
      </c>
      <c r="E20" s="523">
        <f>'Room Types'!D7</f>
        <v>100</v>
      </c>
      <c r="F20" s="1"/>
      <c r="G20" s="524">
        <f>G$7*G35*$E20</f>
        <v>2480</v>
      </c>
      <c r="H20" s="525">
        <f t="shared" ref="H20:R20" si="11">H$7*H35*$E20</f>
        <v>2355.8238636363631</v>
      </c>
      <c r="I20" s="525">
        <f t="shared" si="11"/>
        <v>2511.9561688311696</v>
      </c>
      <c r="J20" s="525">
        <f t="shared" si="11"/>
        <v>2135.1501623376616</v>
      </c>
      <c r="K20" s="525">
        <f t="shared" si="11"/>
        <v>2730.8685064935071</v>
      </c>
      <c r="L20" s="525">
        <f t="shared" si="11"/>
        <v>2795.1582792207782</v>
      </c>
      <c r="M20" s="525">
        <f t="shared" si="11"/>
        <v>2837.5568181818189</v>
      </c>
      <c r="N20" s="525">
        <f t="shared" si="11"/>
        <v>2840.5762987012972</v>
      </c>
      <c r="O20" s="525">
        <f t="shared" si="11"/>
        <v>2794.5292207792209</v>
      </c>
      <c r="P20" s="525">
        <f t="shared" si="11"/>
        <v>2795.0324675324664</v>
      </c>
      <c r="Q20" s="525">
        <f t="shared" si="11"/>
        <v>2508.4334415584422</v>
      </c>
      <c r="R20" s="525">
        <f t="shared" si="11"/>
        <v>2644.9391233766237</v>
      </c>
      <c r="S20" s="526">
        <f>SUM(G20:R20)</f>
        <v>31430.02435064935</v>
      </c>
      <c r="T20" s="76">
        <f>S20/($S$7*E20)</f>
        <v>0.86109655755203696</v>
      </c>
      <c r="U20" s="142"/>
      <c r="V20" s="142"/>
    </row>
    <row r="21" spans="2:23">
      <c r="B21" s="340">
        <f t="shared" ref="B21:B29" si="12">B20+1</f>
        <v>2</v>
      </c>
      <c r="C21" s="1">
        <f>'Room Types'!C8</f>
        <v>0</v>
      </c>
      <c r="D21" s="522">
        <f>'Room Types'!H8</f>
        <v>0</v>
      </c>
      <c r="E21" s="523">
        <f>'Room Types'!D8</f>
        <v>0</v>
      </c>
      <c r="F21" s="1"/>
      <c r="G21" s="527">
        <f t="shared" ref="G21:R21" si="13">G$7*G36*$E21</f>
        <v>0</v>
      </c>
      <c r="H21" s="528">
        <f t="shared" si="13"/>
        <v>0</v>
      </c>
      <c r="I21" s="528">
        <f t="shared" si="13"/>
        <v>0</v>
      </c>
      <c r="J21" s="528">
        <f t="shared" si="13"/>
        <v>0</v>
      </c>
      <c r="K21" s="528">
        <f t="shared" si="13"/>
        <v>0</v>
      </c>
      <c r="L21" s="528">
        <f t="shared" si="13"/>
        <v>0</v>
      </c>
      <c r="M21" s="528">
        <f t="shared" si="13"/>
        <v>0</v>
      </c>
      <c r="N21" s="528">
        <f t="shared" si="13"/>
        <v>0</v>
      </c>
      <c r="O21" s="528">
        <f t="shared" si="13"/>
        <v>0</v>
      </c>
      <c r="P21" s="528">
        <f t="shared" si="13"/>
        <v>0</v>
      </c>
      <c r="Q21" s="528">
        <f t="shared" si="13"/>
        <v>0</v>
      </c>
      <c r="R21" s="528">
        <f t="shared" si="13"/>
        <v>0</v>
      </c>
      <c r="S21" s="529">
        <f t="shared" ref="S21:S30" si="14">SUM(G21:R21)</f>
        <v>0</v>
      </c>
      <c r="T21" s="76" t="e">
        <f t="shared" ref="T21:T29" si="15">S21/($S$7*E21)</f>
        <v>#DIV/0!</v>
      </c>
      <c r="U21" s="142"/>
      <c r="V21" s="142"/>
    </row>
    <row r="22" spans="2:23">
      <c r="B22" s="340">
        <f t="shared" si="12"/>
        <v>3</v>
      </c>
      <c r="C22" s="1" t="str">
        <f>'Room Types'!C9</f>
        <v>Double Double</v>
      </c>
      <c r="D22" s="522">
        <f>'Room Types'!H9</f>
        <v>28.3</v>
      </c>
      <c r="E22" s="523">
        <f>'Room Types'!D9</f>
        <v>100</v>
      </c>
      <c r="F22" s="1"/>
      <c r="G22" s="527">
        <f t="shared" ref="G22:R22" si="16">G$7*G37*$E22</f>
        <v>2480</v>
      </c>
      <c r="H22" s="528">
        <f t="shared" si="16"/>
        <v>2355.8238636363631</v>
      </c>
      <c r="I22" s="528">
        <f t="shared" si="16"/>
        <v>2511.9561688311696</v>
      </c>
      <c r="J22" s="528">
        <f t="shared" si="16"/>
        <v>2135.1501623376616</v>
      </c>
      <c r="K22" s="528">
        <f t="shared" si="16"/>
        <v>2730.8685064935071</v>
      </c>
      <c r="L22" s="528">
        <f t="shared" si="16"/>
        <v>2795.1582792207782</v>
      </c>
      <c r="M22" s="528">
        <f t="shared" si="16"/>
        <v>2837.5568181818189</v>
      </c>
      <c r="N22" s="528">
        <f t="shared" si="16"/>
        <v>2840.5762987012972</v>
      </c>
      <c r="O22" s="528">
        <f t="shared" si="16"/>
        <v>2794.5292207792209</v>
      </c>
      <c r="P22" s="528">
        <f t="shared" si="16"/>
        <v>2795.0324675324664</v>
      </c>
      <c r="Q22" s="528">
        <f t="shared" si="16"/>
        <v>2508.4334415584422</v>
      </c>
      <c r="R22" s="528">
        <f t="shared" si="16"/>
        <v>2644.9391233766237</v>
      </c>
      <c r="S22" s="529">
        <f t="shared" ref="S22:S29" si="17">SUM(G22:R22)</f>
        <v>31430.02435064935</v>
      </c>
      <c r="T22" s="76">
        <f t="shared" si="15"/>
        <v>0.86109655755203696</v>
      </c>
      <c r="U22" s="142"/>
      <c r="V22" s="142"/>
    </row>
    <row r="23" spans="2:23">
      <c r="B23" s="340">
        <f t="shared" si="12"/>
        <v>4</v>
      </c>
      <c r="C23" s="1">
        <f>'Room Types'!C10</f>
        <v>0</v>
      </c>
      <c r="D23" s="522">
        <f>'Room Types'!H10</f>
        <v>0</v>
      </c>
      <c r="E23" s="523">
        <f>'Room Types'!D10</f>
        <v>0</v>
      </c>
      <c r="F23" s="1"/>
      <c r="G23" s="527">
        <f t="shared" ref="G23:R23" si="18">G$7*G38*$E23</f>
        <v>0</v>
      </c>
      <c r="H23" s="528">
        <f t="shared" si="18"/>
        <v>0</v>
      </c>
      <c r="I23" s="528">
        <f t="shared" si="18"/>
        <v>0</v>
      </c>
      <c r="J23" s="528">
        <f t="shared" si="18"/>
        <v>0</v>
      </c>
      <c r="K23" s="528">
        <f t="shared" si="18"/>
        <v>0</v>
      </c>
      <c r="L23" s="528">
        <f t="shared" si="18"/>
        <v>0</v>
      </c>
      <c r="M23" s="528">
        <f t="shared" si="18"/>
        <v>0</v>
      </c>
      <c r="N23" s="528">
        <f t="shared" si="18"/>
        <v>0</v>
      </c>
      <c r="O23" s="528">
        <f t="shared" si="18"/>
        <v>0</v>
      </c>
      <c r="P23" s="528">
        <f t="shared" si="18"/>
        <v>0</v>
      </c>
      <c r="Q23" s="528">
        <f t="shared" si="18"/>
        <v>0</v>
      </c>
      <c r="R23" s="528">
        <f t="shared" si="18"/>
        <v>0</v>
      </c>
      <c r="S23" s="529">
        <f t="shared" si="17"/>
        <v>0</v>
      </c>
      <c r="T23" s="76" t="e">
        <f t="shared" si="15"/>
        <v>#DIV/0!</v>
      </c>
      <c r="U23" s="142"/>
      <c r="V23" s="142"/>
    </row>
    <row r="24" spans="2:23">
      <c r="B24" s="340">
        <f t="shared" si="12"/>
        <v>5</v>
      </c>
      <c r="C24" s="1">
        <f>'Room Types'!C11</f>
        <v>0</v>
      </c>
      <c r="D24" s="522">
        <f>'Room Types'!H11</f>
        <v>0</v>
      </c>
      <c r="E24" s="523">
        <f>'Room Types'!D11</f>
        <v>0</v>
      </c>
      <c r="F24" s="1"/>
      <c r="G24" s="527">
        <f t="shared" ref="G24:R24" si="19">G$7*G39*$E24</f>
        <v>0</v>
      </c>
      <c r="H24" s="528">
        <f t="shared" si="19"/>
        <v>0</v>
      </c>
      <c r="I24" s="528">
        <f t="shared" si="19"/>
        <v>0</v>
      </c>
      <c r="J24" s="528">
        <f t="shared" si="19"/>
        <v>0</v>
      </c>
      <c r="K24" s="528">
        <f t="shared" si="19"/>
        <v>0</v>
      </c>
      <c r="L24" s="528">
        <f t="shared" si="19"/>
        <v>0</v>
      </c>
      <c r="M24" s="528">
        <f t="shared" si="19"/>
        <v>0</v>
      </c>
      <c r="N24" s="528">
        <f t="shared" si="19"/>
        <v>0</v>
      </c>
      <c r="O24" s="528">
        <f t="shared" si="19"/>
        <v>0</v>
      </c>
      <c r="P24" s="528">
        <f t="shared" si="19"/>
        <v>0</v>
      </c>
      <c r="Q24" s="528">
        <f t="shared" si="19"/>
        <v>0</v>
      </c>
      <c r="R24" s="528">
        <f t="shared" si="19"/>
        <v>0</v>
      </c>
      <c r="S24" s="529">
        <f t="shared" si="17"/>
        <v>0</v>
      </c>
      <c r="T24" s="76" t="e">
        <f t="shared" si="15"/>
        <v>#DIV/0!</v>
      </c>
      <c r="U24" s="142"/>
      <c r="V24" s="142"/>
    </row>
    <row r="25" spans="2:23">
      <c r="B25" s="340">
        <f t="shared" si="12"/>
        <v>6</v>
      </c>
      <c r="C25" s="1">
        <f>'Room Types'!C12</f>
        <v>0</v>
      </c>
      <c r="D25" s="522">
        <f>'Room Types'!H12</f>
        <v>0</v>
      </c>
      <c r="E25" s="523">
        <f>'Room Types'!D12</f>
        <v>0</v>
      </c>
      <c r="F25" s="1"/>
      <c r="G25" s="527">
        <f t="shared" ref="G25:R25" si="20">G$7*G40*$E25</f>
        <v>0</v>
      </c>
      <c r="H25" s="528">
        <f t="shared" si="20"/>
        <v>0</v>
      </c>
      <c r="I25" s="528">
        <f t="shared" si="20"/>
        <v>0</v>
      </c>
      <c r="J25" s="528">
        <f t="shared" si="20"/>
        <v>0</v>
      </c>
      <c r="K25" s="528">
        <f t="shared" si="20"/>
        <v>0</v>
      </c>
      <c r="L25" s="528">
        <f t="shared" si="20"/>
        <v>0</v>
      </c>
      <c r="M25" s="528">
        <f t="shared" si="20"/>
        <v>0</v>
      </c>
      <c r="N25" s="528">
        <f t="shared" si="20"/>
        <v>0</v>
      </c>
      <c r="O25" s="528">
        <f t="shared" si="20"/>
        <v>0</v>
      </c>
      <c r="P25" s="528">
        <f t="shared" si="20"/>
        <v>0</v>
      </c>
      <c r="Q25" s="528">
        <f t="shared" si="20"/>
        <v>0</v>
      </c>
      <c r="R25" s="528">
        <f t="shared" si="20"/>
        <v>0</v>
      </c>
      <c r="S25" s="529">
        <f t="shared" si="17"/>
        <v>0</v>
      </c>
      <c r="T25" s="76" t="e">
        <f t="shared" si="15"/>
        <v>#DIV/0!</v>
      </c>
      <c r="U25" s="142"/>
      <c r="V25" s="142"/>
    </row>
    <row r="26" spans="2:23">
      <c r="B26" s="340">
        <f t="shared" si="12"/>
        <v>7</v>
      </c>
      <c r="C26" s="1" t="str">
        <f>'Room Types'!C13</f>
        <v>Junior Suite</v>
      </c>
      <c r="D26" s="522">
        <f>'Room Types'!H13</f>
        <v>54</v>
      </c>
      <c r="E26" s="523">
        <f>'Room Types'!D13</f>
        <v>5</v>
      </c>
      <c r="F26" s="1"/>
      <c r="G26" s="527">
        <f t="shared" ref="G26:R26" si="21">G$7*G41*$E26</f>
        <v>124</v>
      </c>
      <c r="H26" s="528">
        <f t="shared" si="21"/>
        <v>117.79119318181814</v>
      </c>
      <c r="I26" s="528">
        <f t="shared" si="21"/>
        <v>125.5978084415585</v>
      </c>
      <c r="J26" s="528">
        <f t="shared" si="21"/>
        <v>106.75750811688309</v>
      </c>
      <c r="K26" s="528">
        <f t="shared" si="21"/>
        <v>136.54342532467535</v>
      </c>
      <c r="L26" s="528">
        <f t="shared" si="21"/>
        <v>139.75791396103889</v>
      </c>
      <c r="M26" s="528">
        <f t="shared" si="21"/>
        <v>141.87784090909093</v>
      </c>
      <c r="N26" s="528">
        <f t="shared" si="21"/>
        <v>142.02881493506487</v>
      </c>
      <c r="O26" s="528">
        <f t="shared" si="21"/>
        <v>139.72646103896105</v>
      </c>
      <c r="P26" s="528">
        <f t="shared" si="21"/>
        <v>139.75162337662334</v>
      </c>
      <c r="Q26" s="528">
        <f t="shared" si="21"/>
        <v>125.42167207792211</v>
      </c>
      <c r="R26" s="528">
        <f t="shared" si="21"/>
        <v>132.24695616883119</v>
      </c>
      <c r="S26" s="529">
        <f t="shared" si="17"/>
        <v>1571.5012175324675</v>
      </c>
      <c r="T26" s="76">
        <f t="shared" si="15"/>
        <v>0.86109655755203696</v>
      </c>
      <c r="U26" s="142"/>
      <c r="V26" s="142"/>
    </row>
    <row r="27" spans="2:23">
      <c r="B27" s="340">
        <f t="shared" si="12"/>
        <v>8</v>
      </c>
      <c r="C27" s="1" t="str">
        <f>'Room Types'!C14</f>
        <v>Family Suite</v>
      </c>
      <c r="D27" s="522">
        <f>'Room Types'!H14</f>
        <v>56.6</v>
      </c>
      <c r="E27" s="523">
        <f>'Room Types'!D14</f>
        <v>1</v>
      </c>
      <c r="F27" s="1"/>
      <c r="G27" s="527">
        <f t="shared" ref="G27:R27" si="22">G$7*G42*$E27</f>
        <v>24.8</v>
      </c>
      <c r="H27" s="528">
        <f t="shared" si="22"/>
        <v>23.55823863636363</v>
      </c>
      <c r="I27" s="528">
        <f t="shared" si="22"/>
        <v>25.119561688311698</v>
      </c>
      <c r="J27" s="528">
        <f t="shared" si="22"/>
        <v>21.351501623376617</v>
      </c>
      <c r="K27" s="528">
        <f t="shared" si="22"/>
        <v>27.308685064935069</v>
      </c>
      <c r="L27" s="528">
        <f t="shared" si="22"/>
        <v>27.95158279220778</v>
      </c>
      <c r="M27" s="528">
        <f t="shared" si="22"/>
        <v>28.375568181818188</v>
      </c>
      <c r="N27" s="528">
        <f t="shared" si="22"/>
        <v>28.405762987012974</v>
      </c>
      <c r="O27" s="528">
        <f t="shared" si="22"/>
        <v>27.94529220779221</v>
      </c>
      <c r="P27" s="528">
        <f t="shared" si="22"/>
        <v>27.950324675324666</v>
      </c>
      <c r="Q27" s="528">
        <f t="shared" si="22"/>
        <v>25.084334415584422</v>
      </c>
      <c r="R27" s="528">
        <f t="shared" si="22"/>
        <v>26.449391233766239</v>
      </c>
      <c r="S27" s="529">
        <f t="shared" si="17"/>
        <v>314.30024350649347</v>
      </c>
      <c r="T27" s="76">
        <f t="shared" si="15"/>
        <v>0.86109655755203696</v>
      </c>
      <c r="U27" s="142"/>
      <c r="V27" s="142"/>
    </row>
    <row r="28" spans="2:23">
      <c r="B28" s="340">
        <f t="shared" si="12"/>
        <v>9</v>
      </c>
      <c r="C28" s="1" t="str">
        <f>'Room Types'!C15</f>
        <v>Exec. Suite</v>
      </c>
      <c r="D28" s="522">
        <f>'Room Types'!H15</f>
        <v>81</v>
      </c>
      <c r="E28" s="523">
        <f>'Room Types'!D15</f>
        <v>1</v>
      </c>
      <c r="F28" s="1"/>
      <c r="G28" s="527">
        <f t="shared" ref="G28:R28" si="23">G$7*G43*$E28</f>
        <v>24.8</v>
      </c>
      <c r="H28" s="528">
        <f t="shared" si="23"/>
        <v>23.55823863636363</v>
      </c>
      <c r="I28" s="528">
        <f t="shared" si="23"/>
        <v>25.119561688311698</v>
      </c>
      <c r="J28" s="528">
        <f t="shared" si="23"/>
        <v>21.351501623376617</v>
      </c>
      <c r="K28" s="528">
        <f t="shared" si="23"/>
        <v>27.308685064935069</v>
      </c>
      <c r="L28" s="528">
        <f t="shared" si="23"/>
        <v>27.95158279220778</v>
      </c>
      <c r="M28" s="528">
        <f t="shared" si="23"/>
        <v>28.375568181818188</v>
      </c>
      <c r="N28" s="528">
        <f t="shared" si="23"/>
        <v>28.405762987012974</v>
      </c>
      <c r="O28" s="528">
        <f t="shared" si="23"/>
        <v>27.94529220779221</v>
      </c>
      <c r="P28" s="528">
        <f t="shared" si="23"/>
        <v>27.950324675324666</v>
      </c>
      <c r="Q28" s="528">
        <f t="shared" si="23"/>
        <v>25.084334415584422</v>
      </c>
      <c r="R28" s="528">
        <f t="shared" si="23"/>
        <v>26.449391233766239</v>
      </c>
      <c r="S28" s="529">
        <f t="shared" si="17"/>
        <v>314.30024350649347</v>
      </c>
      <c r="T28" s="76">
        <f t="shared" si="15"/>
        <v>0.86109655755203696</v>
      </c>
      <c r="U28" s="142"/>
      <c r="V28" s="142"/>
    </row>
    <row r="29" spans="2:23">
      <c r="B29" s="340">
        <f t="shared" si="12"/>
        <v>10</v>
      </c>
      <c r="C29" s="1">
        <f>'Room Types'!C16</f>
        <v>0</v>
      </c>
      <c r="D29" s="522">
        <f>'Room Types'!H16</f>
        <v>0</v>
      </c>
      <c r="E29" s="523">
        <f>'Room Types'!D16</f>
        <v>0</v>
      </c>
      <c r="G29" s="530">
        <f t="shared" ref="G29:R29" si="24">G$7*G44*$E29</f>
        <v>0</v>
      </c>
      <c r="H29" s="531">
        <f t="shared" si="24"/>
        <v>0</v>
      </c>
      <c r="I29" s="531">
        <f t="shared" si="24"/>
        <v>0</v>
      </c>
      <c r="J29" s="531">
        <f t="shared" si="24"/>
        <v>0</v>
      </c>
      <c r="K29" s="531">
        <f t="shared" si="24"/>
        <v>0</v>
      </c>
      <c r="L29" s="531">
        <f t="shared" si="24"/>
        <v>0</v>
      </c>
      <c r="M29" s="531">
        <f t="shared" si="24"/>
        <v>0</v>
      </c>
      <c r="N29" s="531">
        <f t="shared" si="24"/>
        <v>0</v>
      </c>
      <c r="O29" s="531">
        <f t="shared" si="24"/>
        <v>0</v>
      </c>
      <c r="P29" s="531">
        <f t="shared" si="24"/>
        <v>0</v>
      </c>
      <c r="Q29" s="531">
        <f t="shared" si="24"/>
        <v>0</v>
      </c>
      <c r="R29" s="531">
        <f t="shared" si="24"/>
        <v>0</v>
      </c>
      <c r="S29" s="529">
        <f t="shared" si="17"/>
        <v>0</v>
      </c>
      <c r="T29" s="76" t="e">
        <f t="shared" si="15"/>
        <v>#DIV/0!</v>
      </c>
      <c r="U29" s="142"/>
      <c r="V29" s="142"/>
    </row>
    <row r="30" spans="2:23">
      <c r="C30" s="58" t="s">
        <v>85</v>
      </c>
      <c r="D30" s="532">
        <f>SUMPRODUCT(D20:D29,E20:E29)/E30</f>
        <v>28.684057971014493</v>
      </c>
      <c r="E30" s="533">
        <f>SUM(E20:E29)</f>
        <v>207</v>
      </c>
      <c r="G30" s="534">
        <f>SUM(G20:G29)</f>
        <v>5133.6000000000004</v>
      </c>
      <c r="H30" s="535">
        <f t="shared" ref="H30:R30" si="25">SUM(H20:H29)</f>
        <v>4876.5553977272721</v>
      </c>
      <c r="I30" s="535">
        <f t="shared" si="25"/>
        <v>5199.7492694805205</v>
      </c>
      <c r="J30" s="535">
        <f t="shared" si="25"/>
        <v>4419.7608360389604</v>
      </c>
      <c r="K30" s="535">
        <f t="shared" si="25"/>
        <v>5652.8978084415594</v>
      </c>
      <c r="L30" s="535">
        <f t="shared" si="25"/>
        <v>5785.9776379870109</v>
      </c>
      <c r="M30" s="535">
        <f t="shared" si="25"/>
        <v>5873.7426136363656</v>
      </c>
      <c r="N30" s="535">
        <f t="shared" si="25"/>
        <v>5879.9929383116851</v>
      </c>
      <c r="O30" s="535">
        <f t="shared" si="25"/>
        <v>5784.675487012988</v>
      </c>
      <c r="P30" s="535">
        <f t="shared" si="25"/>
        <v>5785.717207792206</v>
      </c>
      <c r="Q30" s="535">
        <f t="shared" si="25"/>
        <v>5192.4572240259758</v>
      </c>
      <c r="R30" s="535">
        <f t="shared" si="25"/>
        <v>5475.0239853896119</v>
      </c>
      <c r="S30" s="536">
        <f t="shared" si="14"/>
        <v>65060.15040584415</v>
      </c>
      <c r="T30" s="537">
        <f>S30/S9</f>
        <v>0.86109655755203696</v>
      </c>
      <c r="U30" s="538"/>
      <c r="V30" s="538"/>
    </row>
    <row r="31" spans="2:23">
      <c r="C31" s="58"/>
      <c r="D31" s="80"/>
      <c r="G31" s="531"/>
      <c r="H31" s="531"/>
      <c r="I31" s="531"/>
      <c r="J31" s="531"/>
      <c r="K31" s="531"/>
      <c r="L31" s="531"/>
      <c r="M31" s="531"/>
      <c r="N31" s="531"/>
      <c r="O31" s="531"/>
      <c r="P31" s="531"/>
      <c r="Q31" s="531"/>
      <c r="R31" s="531"/>
      <c r="S31" s="531"/>
      <c r="U31" s="539"/>
    </row>
    <row r="32" spans="2:23">
      <c r="B32" s="58"/>
      <c r="C32" s="58"/>
      <c r="G32" s="531"/>
      <c r="H32" s="531"/>
      <c r="I32" s="531"/>
      <c r="J32" s="531"/>
      <c r="W32" s="340"/>
    </row>
    <row r="33" spans="2:46">
      <c r="B33" s="58"/>
      <c r="C33" s="58" t="s">
        <v>86</v>
      </c>
      <c r="G33" s="531"/>
      <c r="H33" s="531"/>
      <c r="I33" s="531"/>
      <c r="J33" s="531"/>
      <c r="W33" s="340"/>
    </row>
    <row r="34" spans="2:46">
      <c r="C34" s="521" t="s">
        <v>83</v>
      </c>
      <c r="D34" s="521" t="s">
        <v>84</v>
      </c>
      <c r="E34" s="521" t="s">
        <v>328</v>
      </c>
      <c r="I34" s="459"/>
      <c r="AI34" s="540"/>
      <c r="AJ34" s="540"/>
      <c r="AK34" s="540"/>
      <c r="AL34" s="540"/>
      <c r="AM34" s="540"/>
      <c r="AN34" s="540"/>
      <c r="AO34" s="540"/>
      <c r="AP34" s="540"/>
      <c r="AQ34" s="540"/>
      <c r="AR34" s="540"/>
      <c r="AS34" s="540"/>
      <c r="AT34" s="540"/>
    </row>
    <row r="35" spans="2:46">
      <c r="B35" s="340">
        <v>1</v>
      </c>
      <c r="C35" s="1" t="str">
        <f>C20</f>
        <v>King</v>
      </c>
      <c r="D35" s="541">
        <f>D20</f>
        <v>27</v>
      </c>
      <c r="E35" s="542">
        <f>E20</f>
        <v>100</v>
      </c>
      <c r="G35" s="543">
        <v>0.8</v>
      </c>
      <c r="H35" s="544">
        <f t="shared" ref="H35:H44" si="26">$G35*H$46</f>
        <v>0.84136566558441539</v>
      </c>
      <c r="I35" s="544">
        <f t="shared" ref="I35:R44" si="27">$G35*I$46</f>
        <v>0.81030844155844184</v>
      </c>
      <c r="J35" s="544">
        <f t="shared" si="27"/>
        <v>0.71171672077922055</v>
      </c>
      <c r="K35" s="544">
        <f t="shared" si="27"/>
        <v>0.88092532467532481</v>
      </c>
      <c r="L35" s="544">
        <f t="shared" si="27"/>
        <v>0.93171942640692595</v>
      </c>
      <c r="M35" s="544">
        <f t="shared" si="27"/>
        <v>0.91534090909090926</v>
      </c>
      <c r="N35" s="544">
        <f t="shared" si="27"/>
        <v>0.91631493506493467</v>
      </c>
      <c r="O35" s="544">
        <f t="shared" si="27"/>
        <v>0.93150974025974032</v>
      </c>
      <c r="P35" s="544">
        <f t="shared" si="27"/>
        <v>0.90162337662337633</v>
      </c>
      <c r="Q35" s="544">
        <f t="shared" si="27"/>
        <v>0.83614448051948076</v>
      </c>
      <c r="R35" s="544">
        <f t="shared" si="27"/>
        <v>0.85320616883116895</v>
      </c>
      <c r="S35" s="545">
        <f>S20/(E20*$S$7)</f>
        <v>0.86109655755203696</v>
      </c>
      <c r="AI35" s="546"/>
      <c r="AJ35" s="546"/>
      <c r="AK35" s="546"/>
      <c r="AL35" s="546"/>
      <c r="AM35" s="546"/>
      <c r="AN35" s="546"/>
      <c r="AO35" s="546"/>
      <c r="AP35" s="546"/>
      <c r="AQ35" s="546"/>
      <c r="AR35" s="546"/>
      <c r="AS35" s="546"/>
      <c r="AT35" s="546"/>
    </row>
    <row r="36" spans="2:46">
      <c r="B36" s="340">
        <f t="shared" ref="B36:B44" si="28">B35+1</f>
        <v>2</v>
      </c>
      <c r="C36" s="1">
        <f t="shared" ref="C36:C44" si="29">C21</f>
        <v>0</v>
      </c>
      <c r="D36" s="541">
        <f t="shared" ref="D36:E36" si="30">D21</f>
        <v>0</v>
      </c>
      <c r="E36" s="542">
        <f t="shared" si="30"/>
        <v>0</v>
      </c>
      <c r="G36" s="547"/>
      <c r="H36" s="548">
        <f t="shared" si="26"/>
        <v>0</v>
      </c>
      <c r="I36" s="548">
        <f t="shared" si="27"/>
        <v>0</v>
      </c>
      <c r="J36" s="548">
        <f t="shared" si="27"/>
        <v>0</v>
      </c>
      <c r="K36" s="548">
        <f t="shared" si="27"/>
        <v>0</v>
      </c>
      <c r="L36" s="548">
        <f t="shared" si="27"/>
        <v>0</v>
      </c>
      <c r="M36" s="548">
        <f t="shared" si="27"/>
        <v>0</v>
      </c>
      <c r="N36" s="548">
        <f t="shared" si="27"/>
        <v>0</v>
      </c>
      <c r="O36" s="548">
        <f t="shared" si="27"/>
        <v>0</v>
      </c>
      <c r="P36" s="548">
        <f t="shared" si="27"/>
        <v>0</v>
      </c>
      <c r="Q36" s="548">
        <f t="shared" si="27"/>
        <v>0</v>
      </c>
      <c r="R36" s="548">
        <f t="shared" si="27"/>
        <v>0</v>
      </c>
      <c r="S36" s="549" t="e">
        <f t="shared" ref="S36:S44" si="31">S21/(E21*$S$7)</f>
        <v>#DIV/0!</v>
      </c>
      <c r="AI36" s="546"/>
      <c r="AJ36" s="546"/>
      <c r="AK36" s="546"/>
      <c r="AL36" s="546"/>
      <c r="AM36" s="546"/>
      <c r="AN36" s="546"/>
      <c r="AO36" s="546"/>
      <c r="AP36" s="546"/>
      <c r="AQ36" s="546"/>
      <c r="AR36" s="546"/>
      <c r="AS36" s="546"/>
      <c r="AT36" s="546"/>
    </row>
    <row r="37" spans="2:46">
      <c r="B37" s="340">
        <f t="shared" si="28"/>
        <v>3</v>
      </c>
      <c r="C37" s="1" t="str">
        <f t="shared" si="29"/>
        <v>Double Double</v>
      </c>
      <c r="D37" s="541">
        <f t="shared" ref="D37:E37" si="32">D22</f>
        <v>28.3</v>
      </c>
      <c r="E37" s="542">
        <f t="shared" si="32"/>
        <v>100</v>
      </c>
      <c r="G37" s="547">
        <v>0.8</v>
      </c>
      <c r="H37" s="548">
        <f t="shared" si="26"/>
        <v>0.84136566558441539</v>
      </c>
      <c r="I37" s="548">
        <f t="shared" si="27"/>
        <v>0.81030844155844184</v>
      </c>
      <c r="J37" s="548">
        <f t="shared" si="27"/>
        <v>0.71171672077922055</v>
      </c>
      <c r="K37" s="548">
        <f t="shared" si="27"/>
        <v>0.88092532467532481</v>
      </c>
      <c r="L37" s="548">
        <f t="shared" si="27"/>
        <v>0.93171942640692595</v>
      </c>
      <c r="M37" s="548">
        <f t="shared" si="27"/>
        <v>0.91534090909090926</v>
      </c>
      <c r="N37" s="548">
        <f t="shared" si="27"/>
        <v>0.91631493506493467</v>
      </c>
      <c r="O37" s="548">
        <f t="shared" si="27"/>
        <v>0.93150974025974032</v>
      </c>
      <c r="P37" s="548">
        <f t="shared" si="27"/>
        <v>0.90162337662337633</v>
      </c>
      <c r="Q37" s="548">
        <f t="shared" si="27"/>
        <v>0.83614448051948076</v>
      </c>
      <c r="R37" s="548">
        <f t="shared" si="27"/>
        <v>0.85320616883116895</v>
      </c>
      <c r="S37" s="549">
        <f t="shared" si="31"/>
        <v>0.86109655755203696</v>
      </c>
      <c r="W37" s="546"/>
    </row>
    <row r="38" spans="2:46">
      <c r="B38" s="340">
        <f t="shared" si="28"/>
        <v>4</v>
      </c>
      <c r="C38" s="1">
        <f t="shared" si="29"/>
        <v>0</v>
      </c>
      <c r="D38" s="541">
        <f t="shared" ref="D38:E38" si="33">D23</f>
        <v>0</v>
      </c>
      <c r="E38" s="542">
        <f t="shared" si="33"/>
        <v>0</v>
      </c>
      <c r="G38" s="547"/>
      <c r="H38" s="548">
        <f t="shared" si="26"/>
        <v>0</v>
      </c>
      <c r="I38" s="548">
        <f t="shared" si="27"/>
        <v>0</v>
      </c>
      <c r="J38" s="548">
        <f t="shared" si="27"/>
        <v>0</v>
      </c>
      <c r="K38" s="548">
        <f t="shared" si="27"/>
        <v>0</v>
      </c>
      <c r="L38" s="548">
        <f t="shared" si="27"/>
        <v>0</v>
      </c>
      <c r="M38" s="548">
        <f t="shared" si="27"/>
        <v>0</v>
      </c>
      <c r="N38" s="548">
        <f t="shared" si="27"/>
        <v>0</v>
      </c>
      <c r="O38" s="548">
        <f t="shared" si="27"/>
        <v>0</v>
      </c>
      <c r="P38" s="548">
        <f t="shared" si="27"/>
        <v>0</v>
      </c>
      <c r="Q38" s="548">
        <f t="shared" si="27"/>
        <v>0</v>
      </c>
      <c r="R38" s="548">
        <f t="shared" si="27"/>
        <v>0</v>
      </c>
      <c r="S38" s="549" t="e">
        <f t="shared" si="31"/>
        <v>#DIV/0!</v>
      </c>
      <c r="W38" s="546"/>
    </row>
    <row r="39" spans="2:46">
      <c r="B39" s="340">
        <f t="shared" si="28"/>
        <v>5</v>
      </c>
      <c r="C39" s="1">
        <f t="shared" si="29"/>
        <v>0</v>
      </c>
      <c r="D39" s="541">
        <f t="shared" ref="D39:E39" si="34">D24</f>
        <v>0</v>
      </c>
      <c r="E39" s="542">
        <f t="shared" si="34"/>
        <v>0</v>
      </c>
      <c r="G39" s="547"/>
      <c r="H39" s="548">
        <f t="shared" si="26"/>
        <v>0</v>
      </c>
      <c r="I39" s="548">
        <f t="shared" si="27"/>
        <v>0</v>
      </c>
      <c r="J39" s="548">
        <f t="shared" si="27"/>
        <v>0</v>
      </c>
      <c r="K39" s="548">
        <f t="shared" si="27"/>
        <v>0</v>
      </c>
      <c r="L39" s="548">
        <f t="shared" si="27"/>
        <v>0</v>
      </c>
      <c r="M39" s="548">
        <f t="shared" si="27"/>
        <v>0</v>
      </c>
      <c r="N39" s="548">
        <f t="shared" si="27"/>
        <v>0</v>
      </c>
      <c r="O39" s="548">
        <f t="shared" si="27"/>
        <v>0</v>
      </c>
      <c r="P39" s="548">
        <f t="shared" si="27"/>
        <v>0</v>
      </c>
      <c r="Q39" s="548">
        <f t="shared" si="27"/>
        <v>0</v>
      </c>
      <c r="R39" s="548">
        <f t="shared" si="27"/>
        <v>0</v>
      </c>
      <c r="S39" s="549" t="e">
        <f t="shared" si="31"/>
        <v>#DIV/0!</v>
      </c>
      <c r="W39" s="546"/>
    </row>
    <row r="40" spans="2:46">
      <c r="B40" s="340">
        <f t="shared" si="28"/>
        <v>6</v>
      </c>
      <c r="C40" s="1">
        <f t="shared" si="29"/>
        <v>0</v>
      </c>
      <c r="D40" s="541">
        <f t="shared" ref="D40:E40" si="35">D25</f>
        <v>0</v>
      </c>
      <c r="E40" s="542">
        <f t="shared" si="35"/>
        <v>0</v>
      </c>
      <c r="G40" s="547"/>
      <c r="H40" s="548">
        <f t="shared" si="26"/>
        <v>0</v>
      </c>
      <c r="I40" s="548">
        <f t="shared" si="27"/>
        <v>0</v>
      </c>
      <c r="J40" s="548">
        <f t="shared" si="27"/>
        <v>0</v>
      </c>
      <c r="K40" s="548">
        <f t="shared" si="27"/>
        <v>0</v>
      </c>
      <c r="L40" s="548">
        <f t="shared" si="27"/>
        <v>0</v>
      </c>
      <c r="M40" s="548">
        <f t="shared" si="27"/>
        <v>0</v>
      </c>
      <c r="N40" s="548">
        <f t="shared" si="27"/>
        <v>0</v>
      </c>
      <c r="O40" s="548">
        <f t="shared" si="27"/>
        <v>0</v>
      </c>
      <c r="P40" s="548">
        <f t="shared" si="27"/>
        <v>0</v>
      </c>
      <c r="Q40" s="548">
        <f t="shared" si="27"/>
        <v>0</v>
      </c>
      <c r="R40" s="548">
        <f t="shared" si="27"/>
        <v>0</v>
      </c>
      <c r="S40" s="549" t="e">
        <f t="shared" si="31"/>
        <v>#DIV/0!</v>
      </c>
      <c r="W40" s="546"/>
    </row>
    <row r="41" spans="2:46">
      <c r="B41" s="340">
        <f t="shared" si="28"/>
        <v>7</v>
      </c>
      <c r="C41" s="1" t="str">
        <f t="shared" si="29"/>
        <v>Junior Suite</v>
      </c>
      <c r="D41" s="541">
        <f t="shared" ref="D41:E41" si="36">D26</f>
        <v>54</v>
      </c>
      <c r="E41" s="542">
        <f t="shared" si="36"/>
        <v>5</v>
      </c>
      <c r="G41" s="547">
        <v>0.8</v>
      </c>
      <c r="H41" s="548">
        <f t="shared" si="26"/>
        <v>0.84136566558441539</v>
      </c>
      <c r="I41" s="548">
        <f t="shared" si="27"/>
        <v>0.81030844155844184</v>
      </c>
      <c r="J41" s="548">
        <f t="shared" si="27"/>
        <v>0.71171672077922055</v>
      </c>
      <c r="K41" s="548">
        <f t="shared" si="27"/>
        <v>0.88092532467532481</v>
      </c>
      <c r="L41" s="548">
        <f t="shared" si="27"/>
        <v>0.93171942640692595</v>
      </c>
      <c r="M41" s="548">
        <f t="shared" si="27"/>
        <v>0.91534090909090926</v>
      </c>
      <c r="N41" s="548">
        <f t="shared" si="27"/>
        <v>0.91631493506493467</v>
      </c>
      <c r="O41" s="548">
        <f t="shared" si="27"/>
        <v>0.93150974025974032</v>
      </c>
      <c r="P41" s="548">
        <f t="shared" si="27"/>
        <v>0.90162337662337633</v>
      </c>
      <c r="Q41" s="548">
        <f t="shared" si="27"/>
        <v>0.83614448051948076</v>
      </c>
      <c r="R41" s="548">
        <f t="shared" si="27"/>
        <v>0.85320616883116895</v>
      </c>
      <c r="S41" s="549">
        <f t="shared" si="31"/>
        <v>0.86109655755203696</v>
      </c>
      <c r="W41" s="546"/>
    </row>
    <row r="42" spans="2:46">
      <c r="B42" s="340">
        <f t="shared" si="28"/>
        <v>8</v>
      </c>
      <c r="C42" s="1" t="str">
        <f t="shared" si="29"/>
        <v>Family Suite</v>
      </c>
      <c r="D42" s="541">
        <f t="shared" ref="D42:E42" si="37">D27</f>
        <v>56.6</v>
      </c>
      <c r="E42" s="542">
        <f t="shared" si="37"/>
        <v>1</v>
      </c>
      <c r="G42" s="547">
        <v>0.8</v>
      </c>
      <c r="H42" s="548">
        <f t="shared" si="26"/>
        <v>0.84136566558441539</v>
      </c>
      <c r="I42" s="548">
        <f t="shared" si="27"/>
        <v>0.81030844155844184</v>
      </c>
      <c r="J42" s="548">
        <f t="shared" si="27"/>
        <v>0.71171672077922055</v>
      </c>
      <c r="K42" s="548">
        <f t="shared" si="27"/>
        <v>0.88092532467532481</v>
      </c>
      <c r="L42" s="548">
        <f t="shared" si="27"/>
        <v>0.93171942640692595</v>
      </c>
      <c r="M42" s="548">
        <f t="shared" si="27"/>
        <v>0.91534090909090926</v>
      </c>
      <c r="N42" s="548">
        <f t="shared" si="27"/>
        <v>0.91631493506493467</v>
      </c>
      <c r="O42" s="548">
        <f t="shared" si="27"/>
        <v>0.93150974025974032</v>
      </c>
      <c r="P42" s="548">
        <f t="shared" si="27"/>
        <v>0.90162337662337633</v>
      </c>
      <c r="Q42" s="548">
        <f t="shared" si="27"/>
        <v>0.83614448051948076</v>
      </c>
      <c r="R42" s="548">
        <f t="shared" si="27"/>
        <v>0.85320616883116895</v>
      </c>
      <c r="S42" s="549">
        <f t="shared" si="31"/>
        <v>0.86109655755203696</v>
      </c>
      <c r="W42" s="546"/>
    </row>
    <row r="43" spans="2:46">
      <c r="B43" s="340">
        <f t="shared" si="28"/>
        <v>9</v>
      </c>
      <c r="C43" s="1" t="str">
        <f t="shared" si="29"/>
        <v>Exec. Suite</v>
      </c>
      <c r="D43" s="541">
        <f t="shared" ref="D43:E43" si="38">D28</f>
        <v>81</v>
      </c>
      <c r="E43" s="542">
        <f t="shared" si="38"/>
        <v>1</v>
      </c>
      <c r="G43" s="547">
        <v>0.8</v>
      </c>
      <c r="H43" s="548">
        <f t="shared" si="26"/>
        <v>0.84136566558441539</v>
      </c>
      <c r="I43" s="548">
        <f t="shared" si="27"/>
        <v>0.81030844155844184</v>
      </c>
      <c r="J43" s="548">
        <f t="shared" si="27"/>
        <v>0.71171672077922055</v>
      </c>
      <c r="K43" s="548">
        <f t="shared" si="27"/>
        <v>0.88092532467532481</v>
      </c>
      <c r="L43" s="548">
        <f t="shared" si="27"/>
        <v>0.93171942640692595</v>
      </c>
      <c r="M43" s="548">
        <f t="shared" si="27"/>
        <v>0.91534090909090926</v>
      </c>
      <c r="N43" s="548">
        <f t="shared" si="27"/>
        <v>0.91631493506493467</v>
      </c>
      <c r="O43" s="548">
        <f t="shared" si="27"/>
        <v>0.93150974025974032</v>
      </c>
      <c r="P43" s="548">
        <f t="shared" si="27"/>
        <v>0.90162337662337633</v>
      </c>
      <c r="Q43" s="548">
        <f t="shared" si="27"/>
        <v>0.83614448051948076</v>
      </c>
      <c r="R43" s="548">
        <f t="shared" si="27"/>
        <v>0.85320616883116895</v>
      </c>
      <c r="S43" s="549">
        <f t="shared" si="31"/>
        <v>0.86109655755203696</v>
      </c>
      <c r="W43" s="546"/>
    </row>
    <row r="44" spans="2:46">
      <c r="B44" s="340">
        <f t="shared" si="28"/>
        <v>10</v>
      </c>
      <c r="C44" s="1">
        <f t="shared" si="29"/>
        <v>0</v>
      </c>
      <c r="D44" s="541">
        <f t="shared" ref="D44:E44" si="39">D29</f>
        <v>0</v>
      </c>
      <c r="E44" s="542">
        <f t="shared" si="39"/>
        <v>0</v>
      </c>
      <c r="G44" s="547"/>
      <c r="H44" s="548">
        <f t="shared" si="26"/>
        <v>0</v>
      </c>
      <c r="I44" s="548">
        <f t="shared" si="27"/>
        <v>0</v>
      </c>
      <c r="J44" s="548">
        <f t="shared" si="27"/>
        <v>0</v>
      </c>
      <c r="K44" s="548">
        <f t="shared" si="27"/>
        <v>0</v>
      </c>
      <c r="L44" s="548">
        <f t="shared" si="27"/>
        <v>0</v>
      </c>
      <c r="M44" s="548">
        <f t="shared" si="27"/>
        <v>0</v>
      </c>
      <c r="N44" s="548">
        <f t="shared" si="27"/>
        <v>0</v>
      </c>
      <c r="O44" s="548">
        <f t="shared" si="27"/>
        <v>0</v>
      </c>
      <c r="P44" s="548">
        <f t="shared" si="27"/>
        <v>0</v>
      </c>
      <c r="Q44" s="548">
        <f t="shared" si="27"/>
        <v>0</v>
      </c>
      <c r="R44" s="548">
        <f t="shared" si="27"/>
        <v>0</v>
      </c>
      <c r="S44" s="549" t="e">
        <f t="shared" si="31"/>
        <v>#DIV/0!</v>
      </c>
      <c r="W44" s="546"/>
    </row>
    <row r="45" spans="2:46">
      <c r="C45" s="58" t="s">
        <v>85</v>
      </c>
      <c r="D45" s="532">
        <f>SUMPRODUCT(D35:D44,E35:E44)/E45</f>
        <v>28.684057971014493</v>
      </c>
      <c r="E45" s="533">
        <f>SUM(E35:E44)</f>
        <v>207</v>
      </c>
      <c r="G45" s="550">
        <f t="shared" ref="G45:S45" si="40">G30/G9</f>
        <v>0.8</v>
      </c>
      <c r="H45" s="551">
        <f t="shared" si="40"/>
        <v>0.8413656655844155</v>
      </c>
      <c r="I45" s="551">
        <f t="shared" ref="I45:R45" si="41">I30/I9</f>
        <v>0.81030844155844173</v>
      </c>
      <c r="J45" s="551">
        <f t="shared" si="41"/>
        <v>0.71171672077922066</v>
      </c>
      <c r="K45" s="551">
        <f t="shared" si="41"/>
        <v>0.88092532467532481</v>
      </c>
      <c r="L45" s="551">
        <f t="shared" si="41"/>
        <v>0.93171942640692607</v>
      </c>
      <c r="M45" s="551">
        <f t="shared" si="41"/>
        <v>0.91534090909090937</v>
      </c>
      <c r="N45" s="551">
        <f t="shared" si="41"/>
        <v>0.91631493506493455</v>
      </c>
      <c r="O45" s="551">
        <f t="shared" si="41"/>
        <v>0.93150974025974043</v>
      </c>
      <c r="P45" s="551">
        <f t="shared" si="41"/>
        <v>0.90162337662337633</v>
      </c>
      <c r="Q45" s="551">
        <f t="shared" si="41"/>
        <v>0.83614448051948076</v>
      </c>
      <c r="R45" s="551">
        <f t="shared" si="41"/>
        <v>0.85320616883116907</v>
      </c>
      <c r="S45" s="552">
        <f t="shared" si="40"/>
        <v>0.86109655755203696</v>
      </c>
      <c r="T45" s="553">
        <f>S11</f>
        <v>0.86109655755203696</v>
      </c>
      <c r="W45" s="551"/>
    </row>
    <row r="46" spans="2:46">
      <c r="C46" s="58"/>
      <c r="D46" s="532"/>
      <c r="E46" s="554"/>
      <c r="G46" s="555" t="s">
        <v>87</v>
      </c>
      <c r="H46" s="556">
        <f>H49</f>
        <v>1.0517070819805192</v>
      </c>
      <c r="I46" s="556">
        <f t="shared" ref="I46:R46" si="42">I49</f>
        <v>1.0128855519480522</v>
      </c>
      <c r="J46" s="556">
        <f t="shared" si="42"/>
        <v>0.88964590097402563</v>
      </c>
      <c r="K46" s="556">
        <f t="shared" si="42"/>
        <v>1.1011566558441559</v>
      </c>
      <c r="L46" s="556">
        <f t="shared" si="42"/>
        <v>1.1646492830086574</v>
      </c>
      <c r="M46" s="556">
        <f t="shared" si="42"/>
        <v>1.1441761363636365</v>
      </c>
      <c r="N46" s="556">
        <f t="shared" si="42"/>
        <v>1.1453936688311683</v>
      </c>
      <c r="O46" s="556">
        <f t="shared" si="42"/>
        <v>1.1643871753246753</v>
      </c>
      <c r="P46" s="556">
        <f t="shared" si="42"/>
        <v>1.1270292207792203</v>
      </c>
      <c r="Q46" s="556">
        <f t="shared" si="42"/>
        <v>1.0451806006493509</v>
      </c>
      <c r="R46" s="556">
        <f t="shared" si="42"/>
        <v>1.0665077110389611</v>
      </c>
      <c r="S46" s="557"/>
      <c r="T46" s="70"/>
      <c r="W46" s="551"/>
    </row>
    <row r="47" spans="2:46">
      <c r="C47" s="58"/>
      <c r="D47" s="558"/>
      <c r="E47" s="554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</row>
    <row r="48" spans="2:46">
      <c r="C48" s="58"/>
      <c r="D48" s="558"/>
      <c r="E48" s="560" t="s">
        <v>325</v>
      </c>
      <c r="G48" s="561">
        <v>0.79583350155436194</v>
      </c>
      <c r="H48" s="561">
        <v>0.83698372966207701</v>
      </c>
      <c r="I48" s="561">
        <v>0.806088255480641</v>
      </c>
      <c r="J48" s="561">
        <v>0.70801001251564399</v>
      </c>
      <c r="K48" s="561">
        <v>0.876337357180346</v>
      </c>
      <c r="L48" s="561">
        <v>0.92686691697955692</v>
      </c>
      <c r="M48" s="561">
        <v>0.91057370099721391</v>
      </c>
      <c r="N48" s="561">
        <v>0.91154265412410596</v>
      </c>
      <c r="O48" s="561">
        <v>0.92665832290362904</v>
      </c>
      <c r="P48" s="559">
        <v>0.89692761112681096</v>
      </c>
      <c r="Q48" s="559">
        <v>0.83178973717146409</v>
      </c>
      <c r="R48" s="559">
        <v>0.84876256611086409</v>
      </c>
      <c r="S48" s="559">
        <v>0.85661186071630591</v>
      </c>
      <c r="T48" s="56" t="s">
        <v>358</v>
      </c>
    </row>
    <row r="49" spans="2:46">
      <c r="C49" s="562"/>
      <c r="D49" s="562"/>
      <c r="E49" s="563"/>
      <c r="F49" s="562"/>
      <c r="G49" s="564" t="s">
        <v>327</v>
      </c>
      <c r="H49" s="565">
        <f>H48/$G$48</f>
        <v>1.0517070819805192</v>
      </c>
      <c r="I49" s="565">
        <f t="shared" ref="I49:R49" si="43">I48/$G$48</f>
        <v>1.0128855519480522</v>
      </c>
      <c r="J49" s="565">
        <f t="shared" si="43"/>
        <v>0.88964590097402563</v>
      </c>
      <c r="K49" s="565">
        <f t="shared" si="43"/>
        <v>1.1011566558441559</v>
      </c>
      <c r="L49" s="565">
        <f t="shared" si="43"/>
        <v>1.1646492830086574</v>
      </c>
      <c r="M49" s="565">
        <f t="shared" si="43"/>
        <v>1.1441761363636365</v>
      </c>
      <c r="N49" s="565">
        <f t="shared" si="43"/>
        <v>1.1453936688311683</v>
      </c>
      <c r="O49" s="565">
        <f t="shared" si="43"/>
        <v>1.1643871753246753</v>
      </c>
      <c r="P49" s="565">
        <f t="shared" si="43"/>
        <v>1.1270292207792203</v>
      </c>
      <c r="Q49" s="565">
        <f t="shared" si="43"/>
        <v>1.0451806006493509</v>
      </c>
      <c r="R49" s="565">
        <f t="shared" si="43"/>
        <v>1.0665077110389611</v>
      </c>
      <c r="S49" s="562"/>
      <c r="T49" s="566">
        <f>Proforma!P14</f>
        <v>0.95609655755203704</v>
      </c>
      <c r="U49" s="562"/>
      <c r="V49" s="562"/>
      <c r="W49" s="562"/>
    </row>
    <row r="50" spans="2:46">
      <c r="C50" s="562"/>
      <c r="D50" s="562"/>
      <c r="E50" s="562"/>
      <c r="F50" s="562"/>
      <c r="G50" s="567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2"/>
      <c r="T50" s="562"/>
      <c r="U50" s="562"/>
      <c r="V50" s="562"/>
      <c r="W50" s="562"/>
    </row>
    <row r="51" spans="2:46">
      <c r="C51" s="58" t="s">
        <v>303</v>
      </c>
      <c r="G51" s="569"/>
      <c r="U51" s="58"/>
    </row>
    <row r="52" spans="2:46">
      <c r="C52" s="521" t="s">
        <v>83</v>
      </c>
      <c r="D52" s="521" t="s">
        <v>84</v>
      </c>
      <c r="E52" s="521" t="s">
        <v>328</v>
      </c>
      <c r="G52" s="569"/>
      <c r="H52" s="459"/>
      <c r="U52" s="218" t="s">
        <v>326</v>
      </c>
      <c r="AI52" s="540"/>
      <c r="AJ52" s="540"/>
      <c r="AK52" s="540"/>
      <c r="AL52" s="540"/>
      <c r="AM52" s="540"/>
      <c r="AN52" s="540"/>
      <c r="AO52" s="540"/>
      <c r="AP52" s="540"/>
      <c r="AQ52" s="540"/>
      <c r="AR52" s="540"/>
      <c r="AS52" s="540"/>
      <c r="AT52" s="540"/>
    </row>
    <row r="53" spans="2:46">
      <c r="B53" s="340">
        <v>1</v>
      </c>
      <c r="C53" s="1" t="str">
        <f>C35</f>
        <v>King</v>
      </c>
      <c r="D53" s="541">
        <f>D35</f>
        <v>27</v>
      </c>
      <c r="E53" s="542">
        <f>E35</f>
        <v>100</v>
      </c>
      <c r="G53" s="570">
        <v>10000</v>
      </c>
      <c r="H53" s="40">
        <f t="shared" ref="H53:R62" si="44">$G53*H$64</f>
        <v>10000</v>
      </c>
      <c r="I53" s="40">
        <f t="shared" si="44"/>
        <v>10000</v>
      </c>
      <c r="J53" s="40">
        <f t="shared" si="44"/>
        <v>10000</v>
      </c>
      <c r="K53" s="40">
        <f t="shared" si="44"/>
        <v>10000</v>
      </c>
      <c r="L53" s="40">
        <f t="shared" si="44"/>
        <v>10000</v>
      </c>
      <c r="M53" s="40">
        <f t="shared" si="44"/>
        <v>10000</v>
      </c>
      <c r="N53" s="40">
        <f t="shared" si="44"/>
        <v>10000</v>
      </c>
      <c r="O53" s="40">
        <f t="shared" si="44"/>
        <v>10000</v>
      </c>
      <c r="P53" s="40">
        <f t="shared" si="44"/>
        <v>10000</v>
      </c>
      <c r="Q53" s="40">
        <f t="shared" si="44"/>
        <v>10000</v>
      </c>
      <c r="R53" s="40">
        <f t="shared" si="44"/>
        <v>10000</v>
      </c>
      <c r="S53" s="127">
        <f t="shared" ref="S53:S62" si="45">IFERROR(S89/S20,"")</f>
        <v>10000.000000000002</v>
      </c>
      <c r="U53" s="571">
        <f>IFERROR(S53/D53,"")</f>
        <v>370.37037037037044</v>
      </c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</row>
    <row r="54" spans="2:46">
      <c r="B54" s="340">
        <f t="shared" ref="B54:B62" si="46">B53+1</f>
        <v>2</v>
      </c>
      <c r="C54" s="1">
        <f t="shared" ref="C54:C62" si="47">C36</f>
        <v>0</v>
      </c>
      <c r="D54" s="541">
        <f t="shared" ref="D54" si="48">D36</f>
        <v>0</v>
      </c>
      <c r="E54" s="542">
        <f t="shared" ref="E54" si="49">E36</f>
        <v>0</v>
      </c>
      <c r="G54" s="572"/>
      <c r="H54" s="28">
        <f t="shared" si="44"/>
        <v>0</v>
      </c>
      <c r="I54" s="28">
        <f t="shared" si="44"/>
        <v>0</v>
      </c>
      <c r="J54" s="28">
        <f t="shared" si="44"/>
        <v>0</v>
      </c>
      <c r="K54" s="28">
        <f t="shared" si="44"/>
        <v>0</v>
      </c>
      <c r="L54" s="28">
        <f t="shared" si="44"/>
        <v>0</v>
      </c>
      <c r="M54" s="28">
        <f t="shared" si="44"/>
        <v>0</v>
      </c>
      <c r="N54" s="28">
        <f t="shared" si="44"/>
        <v>0</v>
      </c>
      <c r="O54" s="28">
        <f t="shared" si="44"/>
        <v>0</v>
      </c>
      <c r="P54" s="28">
        <f t="shared" si="44"/>
        <v>0</v>
      </c>
      <c r="Q54" s="28">
        <f t="shared" si="44"/>
        <v>0</v>
      </c>
      <c r="R54" s="28">
        <f t="shared" si="44"/>
        <v>0</v>
      </c>
      <c r="S54" s="132" t="str">
        <f t="shared" si="45"/>
        <v/>
      </c>
      <c r="U54" s="571" t="str">
        <f t="shared" ref="U54:U63" si="50">IFERROR(S54/D54,"")</f>
        <v/>
      </c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</row>
    <row r="55" spans="2:46">
      <c r="B55" s="340">
        <f t="shared" si="46"/>
        <v>3</v>
      </c>
      <c r="C55" s="1" t="str">
        <f t="shared" si="47"/>
        <v>Double Double</v>
      </c>
      <c r="D55" s="541">
        <f t="shared" ref="D55" si="51">D37</f>
        <v>28.3</v>
      </c>
      <c r="E55" s="542">
        <f t="shared" ref="E55" si="52">E37</f>
        <v>100</v>
      </c>
      <c r="G55" s="572">
        <v>10000</v>
      </c>
      <c r="H55" s="28">
        <f t="shared" si="44"/>
        <v>10000</v>
      </c>
      <c r="I55" s="28">
        <f t="shared" si="44"/>
        <v>10000</v>
      </c>
      <c r="J55" s="28">
        <f t="shared" si="44"/>
        <v>10000</v>
      </c>
      <c r="K55" s="28">
        <f t="shared" si="44"/>
        <v>10000</v>
      </c>
      <c r="L55" s="28">
        <f t="shared" si="44"/>
        <v>10000</v>
      </c>
      <c r="M55" s="28">
        <f t="shared" si="44"/>
        <v>10000</v>
      </c>
      <c r="N55" s="28">
        <f t="shared" si="44"/>
        <v>10000</v>
      </c>
      <c r="O55" s="28">
        <f t="shared" si="44"/>
        <v>10000</v>
      </c>
      <c r="P55" s="28">
        <f t="shared" si="44"/>
        <v>10000</v>
      </c>
      <c r="Q55" s="28">
        <f t="shared" si="44"/>
        <v>10000</v>
      </c>
      <c r="R55" s="28">
        <f t="shared" si="44"/>
        <v>10000</v>
      </c>
      <c r="S55" s="132">
        <f t="shared" si="45"/>
        <v>10000.000000000002</v>
      </c>
      <c r="U55" s="571">
        <f t="shared" si="50"/>
        <v>353.35689045936402</v>
      </c>
    </row>
    <row r="56" spans="2:46">
      <c r="B56" s="340">
        <f t="shared" si="46"/>
        <v>4</v>
      </c>
      <c r="C56" s="1">
        <f t="shared" si="47"/>
        <v>0</v>
      </c>
      <c r="D56" s="541">
        <f t="shared" ref="D56" si="53">D38</f>
        <v>0</v>
      </c>
      <c r="E56" s="542">
        <f t="shared" ref="E56" si="54">E38</f>
        <v>0</v>
      </c>
      <c r="G56" s="572"/>
      <c r="H56" s="28">
        <f t="shared" si="44"/>
        <v>0</v>
      </c>
      <c r="I56" s="28">
        <f t="shared" si="44"/>
        <v>0</v>
      </c>
      <c r="J56" s="28">
        <f t="shared" si="44"/>
        <v>0</v>
      </c>
      <c r="K56" s="28">
        <f t="shared" si="44"/>
        <v>0</v>
      </c>
      <c r="L56" s="28">
        <f t="shared" si="44"/>
        <v>0</v>
      </c>
      <c r="M56" s="28">
        <f t="shared" si="44"/>
        <v>0</v>
      </c>
      <c r="N56" s="28">
        <f t="shared" si="44"/>
        <v>0</v>
      </c>
      <c r="O56" s="28">
        <f t="shared" si="44"/>
        <v>0</v>
      </c>
      <c r="P56" s="28">
        <f t="shared" si="44"/>
        <v>0</v>
      </c>
      <c r="Q56" s="28">
        <f t="shared" si="44"/>
        <v>0</v>
      </c>
      <c r="R56" s="28">
        <f t="shared" si="44"/>
        <v>0</v>
      </c>
      <c r="S56" s="132" t="str">
        <f t="shared" si="45"/>
        <v/>
      </c>
      <c r="U56" s="571" t="str">
        <f t="shared" si="50"/>
        <v/>
      </c>
    </row>
    <row r="57" spans="2:46">
      <c r="B57" s="340">
        <f t="shared" si="46"/>
        <v>5</v>
      </c>
      <c r="C57" s="1">
        <f t="shared" si="47"/>
        <v>0</v>
      </c>
      <c r="D57" s="541">
        <f t="shared" ref="D57" si="55">D39</f>
        <v>0</v>
      </c>
      <c r="E57" s="542">
        <f t="shared" ref="E57" si="56">E39</f>
        <v>0</v>
      </c>
      <c r="G57" s="572"/>
      <c r="H57" s="28">
        <f t="shared" si="44"/>
        <v>0</v>
      </c>
      <c r="I57" s="28">
        <f t="shared" si="44"/>
        <v>0</v>
      </c>
      <c r="J57" s="28">
        <f t="shared" si="44"/>
        <v>0</v>
      </c>
      <c r="K57" s="28">
        <f t="shared" si="44"/>
        <v>0</v>
      </c>
      <c r="L57" s="28">
        <f t="shared" si="44"/>
        <v>0</v>
      </c>
      <c r="M57" s="28">
        <f t="shared" si="44"/>
        <v>0</v>
      </c>
      <c r="N57" s="28">
        <f t="shared" si="44"/>
        <v>0</v>
      </c>
      <c r="O57" s="28">
        <f t="shared" si="44"/>
        <v>0</v>
      </c>
      <c r="P57" s="28">
        <f t="shared" si="44"/>
        <v>0</v>
      </c>
      <c r="Q57" s="28">
        <f t="shared" si="44"/>
        <v>0</v>
      </c>
      <c r="R57" s="28">
        <f t="shared" si="44"/>
        <v>0</v>
      </c>
      <c r="S57" s="132" t="str">
        <f t="shared" si="45"/>
        <v/>
      </c>
      <c r="U57" s="571" t="str">
        <f t="shared" si="50"/>
        <v/>
      </c>
    </row>
    <row r="58" spans="2:46">
      <c r="B58" s="340">
        <f t="shared" si="46"/>
        <v>6</v>
      </c>
      <c r="C58" s="1">
        <f t="shared" si="47"/>
        <v>0</v>
      </c>
      <c r="D58" s="541">
        <f t="shared" ref="D58" si="57">D40</f>
        <v>0</v>
      </c>
      <c r="E58" s="542">
        <f t="shared" ref="E58" si="58">E40</f>
        <v>0</v>
      </c>
      <c r="G58" s="572"/>
      <c r="H58" s="28">
        <f t="shared" si="44"/>
        <v>0</v>
      </c>
      <c r="I58" s="28">
        <f t="shared" si="44"/>
        <v>0</v>
      </c>
      <c r="J58" s="28">
        <f t="shared" si="44"/>
        <v>0</v>
      </c>
      <c r="K58" s="28">
        <f t="shared" si="44"/>
        <v>0</v>
      </c>
      <c r="L58" s="28">
        <f t="shared" si="44"/>
        <v>0</v>
      </c>
      <c r="M58" s="28">
        <f t="shared" si="44"/>
        <v>0</v>
      </c>
      <c r="N58" s="28">
        <f t="shared" si="44"/>
        <v>0</v>
      </c>
      <c r="O58" s="28">
        <f t="shared" si="44"/>
        <v>0</v>
      </c>
      <c r="P58" s="28">
        <f t="shared" si="44"/>
        <v>0</v>
      </c>
      <c r="Q58" s="28">
        <f t="shared" si="44"/>
        <v>0</v>
      </c>
      <c r="R58" s="28">
        <f t="shared" si="44"/>
        <v>0</v>
      </c>
      <c r="S58" s="132" t="str">
        <f t="shared" si="45"/>
        <v/>
      </c>
      <c r="U58" s="571" t="str">
        <f t="shared" si="50"/>
        <v/>
      </c>
    </row>
    <row r="59" spans="2:46">
      <c r="B59" s="340">
        <f t="shared" si="46"/>
        <v>7</v>
      </c>
      <c r="C59" s="1" t="str">
        <f t="shared" si="47"/>
        <v>Junior Suite</v>
      </c>
      <c r="D59" s="541">
        <f t="shared" ref="D59" si="59">D41</f>
        <v>54</v>
      </c>
      <c r="E59" s="542">
        <f t="shared" ref="E59" si="60">E41</f>
        <v>5</v>
      </c>
      <c r="G59" s="572">
        <v>10000</v>
      </c>
      <c r="H59" s="28">
        <f t="shared" si="44"/>
        <v>10000</v>
      </c>
      <c r="I59" s="28">
        <f t="shared" si="44"/>
        <v>10000</v>
      </c>
      <c r="J59" s="28">
        <f t="shared" si="44"/>
        <v>10000</v>
      </c>
      <c r="K59" s="28">
        <f t="shared" si="44"/>
        <v>10000</v>
      </c>
      <c r="L59" s="28">
        <f t="shared" si="44"/>
        <v>10000</v>
      </c>
      <c r="M59" s="28">
        <f t="shared" si="44"/>
        <v>10000</v>
      </c>
      <c r="N59" s="28">
        <f t="shared" si="44"/>
        <v>10000</v>
      </c>
      <c r="O59" s="28">
        <f t="shared" si="44"/>
        <v>10000</v>
      </c>
      <c r="P59" s="28">
        <f t="shared" si="44"/>
        <v>10000</v>
      </c>
      <c r="Q59" s="28">
        <f t="shared" si="44"/>
        <v>10000</v>
      </c>
      <c r="R59" s="28">
        <f t="shared" si="44"/>
        <v>10000</v>
      </c>
      <c r="S59" s="132">
        <f t="shared" si="45"/>
        <v>10000</v>
      </c>
      <c r="U59" s="571">
        <f t="shared" si="50"/>
        <v>185.18518518518519</v>
      </c>
    </row>
    <row r="60" spans="2:46">
      <c r="B60" s="340">
        <f t="shared" si="46"/>
        <v>8</v>
      </c>
      <c r="C60" s="1" t="str">
        <f t="shared" si="47"/>
        <v>Family Suite</v>
      </c>
      <c r="D60" s="541">
        <f t="shared" ref="D60" si="61">D42</f>
        <v>56.6</v>
      </c>
      <c r="E60" s="542">
        <f t="shared" ref="E60" si="62">E42</f>
        <v>1</v>
      </c>
      <c r="F60" s="1"/>
      <c r="G60" s="572">
        <v>10000</v>
      </c>
      <c r="H60" s="28">
        <f t="shared" si="44"/>
        <v>10000</v>
      </c>
      <c r="I60" s="28">
        <f t="shared" si="44"/>
        <v>10000</v>
      </c>
      <c r="J60" s="28">
        <f t="shared" si="44"/>
        <v>10000</v>
      </c>
      <c r="K60" s="28">
        <f t="shared" si="44"/>
        <v>10000</v>
      </c>
      <c r="L60" s="28">
        <f t="shared" si="44"/>
        <v>10000</v>
      </c>
      <c r="M60" s="28">
        <f t="shared" si="44"/>
        <v>10000</v>
      </c>
      <c r="N60" s="28">
        <f t="shared" si="44"/>
        <v>10000</v>
      </c>
      <c r="O60" s="28">
        <f t="shared" si="44"/>
        <v>10000</v>
      </c>
      <c r="P60" s="28">
        <f t="shared" si="44"/>
        <v>10000</v>
      </c>
      <c r="Q60" s="28">
        <f t="shared" si="44"/>
        <v>10000</v>
      </c>
      <c r="R60" s="28">
        <f t="shared" si="44"/>
        <v>10000</v>
      </c>
      <c r="S60" s="132">
        <f t="shared" si="45"/>
        <v>10000</v>
      </c>
      <c r="U60" s="571">
        <f t="shared" si="50"/>
        <v>176.67844522968198</v>
      </c>
    </row>
    <row r="61" spans="2:46">
      <c r="B61" s="340">
        <f t="shared" si="46"/>
        <v>9</v>
      </c>
      <c r="C61" s="1" t="str">
        <f t="shared" si="47"/>
        <v>Exec. Suite</v>
      </c>
      <c r="D61" s="541">
        <f t="shared" ref="D61" si="63">D43</f>
        <v>81</v>
      </c>
      <c r="E61" s="542">
        <f t="shared" ref="E61" si="64">E43</f>
        <v>1</v>
      </c>
      <c r="G61" s="572">
        <v>10000</v>
      </c>
      <c r="H61" s="28">
        <f t="shared" si="44"/>
        <v>10000</v>
      </c>
      <c r="I61" s="28">
        <f t="shared" si="44"/>
        <v>10000</v>
      </c>
      <c r="J61" s="28">
        <f t="shared" si="44"/>
        <v>10000</v>
      </c>
      <c r="K61" s="28">
        <f t="shared" si="44"/>
        <v>10000</v>
      </c>
      <c r="L61" s="28">
        <f t="shared" si="44"/>
        <v>10000</v>
      </c>
      <c r="M61" s="28">
        <f t="shared" si="44"/>
        <v>10000</v>
      </c>
      <c r="N61" s="28">
        <f t="shared" si="44"/>
        <v>10000</v>
      </c>
      <c r="O61" s="28">
        <f t="shared" si="44"/>
        <v>10000</v>
      </c>
      <c r="P61" s="28">
        <f t="shared" si="44"/>
        <v>10000</v>
      </c>
      <c r="Q61" s="28">
        <f t="shared" si="44"/>
        <v>10000</v>
      </c>
      <c r="R61" s="28">
        <f t="shared" si="44"/>
        <v>10000</v>
      </c>
      <c r="S61" s="132">
        <f t="shared" si="45"/>
        <v>10000</v>
      </c>
      <c r="U61" s="571">
        <f t="shared" si="50"/>
        <v>123.45679012345678</v>
      </c>
    </row>
    <row r="62" spans="2:46">
      <c r="B62" s="340">
        <f t="shared" si="46"/>
        <v>10</v>
      </c>
      <c r="C62" s="1">
        <f t="shared" si="47"/>
        <v>0</v>
      </c>
      <c r="D62" s="522">
        <f t="shared" ref="D62" si="65">D44</f>
        <v>0</v>
      </c>
      <c r="E62" s="523">
        <f t="shared" ref="E62" si="66">E44</f>
        <v>0</v>
      </c>
      <c r="G62" s="572"/>
      <c r="H62" s="28">
        <f t="shared" si="44"/>
        <v>0</v>
      </c>
      <c r="I62" s="28">
        <f t="shared" si="44"/>
        <v>0</v>
      </c>
      <c r="J62" s="28">
        <f t="shared" si="44"/>
        <v>0</v>
      </c>
      <c r="K62" s="28">
        <f t="shared" si="44"/>
        <v>0</v>
      </c>
      <c r="L62" s="28">
        <f t="shared" si="44"/>
        <v>0</v>
      </c>
      <c r="M62" s="28">
        <f t="shared" si="44"/>
        <v>0</v>
      </c>
      <c r="N62" s="28">
        <f t="shared" si="44"/>
        <v>0</v>
      </c>
      <c r="O62" s="28">
        <f t="shared" si="44"/>
        <v>0</v>
      </c>
      <c r="P62" s="28">
        <f t="shared" si="44"/>
        <v>0</v>
      </c>
      <c r="Q62" s="28">
        <f t="shared" si="44"/>
        <v>0</v>
      </c>
      <c r="R62" s="28">
        <f t="shared" si="44"/>
        <v>0</v>
      </c>
      <c r="S62" s="132" t="str">
        <f t="shared" si="45"/>
        <v/>
      </c>
      <c r="U62" s="571" t="str">
        <f t="shared" si="50"/>
        <v/>
      </c>
    </row>
    <row r="63" spans="2:46">
      <c r="C63" s="58" t="s">
        <v>85</v>
      </c>
      <c r="D63" s="532">
        <f>SUMPRODUCT(D53:D62,E53:E62)/E63</f>
        <v>28.684057971014493</v>
      </c>
      <c r="E63" s="533">
        <f>SUM(E53:E62)</f>
        <v>207</v>
      </c>
      <c r="G63" s="573">
        <f t="shared" ref="G63:S63" si="67">G99/G30</f>
        <v>10000</v>
      </c>
      <c r="H63" s="574">
        <f t="shared" si="67"/>
        <v>9999.9999999999964</v>
      </c>
      <c r="I63" s="574">
        <f t="shared" si="67"/>
        <v>10000</v>
      </c>
      <c r="J63" s="574">
        <f t="shared" si="67"/>
        <v>9999.9999999999964</v>
      </c>
      <c r="K63" s="574">
        <f t="shared" si="67"/>
        <v>10000</v>
      </c>
      <c r="L63" s="574">
        <f t="shared" si="67"/>
        <v>9999.9999999999982</v>
      </c>
      <c r="M63" s="574">
        <f t="shared" si="67"/>
        <v>9999.9999999999982</v>
      </c>
      <c r="N63" s="574">
        <f t="shared" si="67"/>
        <v>10000.000000000002</v>
      </c>
      <c r="O63" s="574">
        <f t="shared" si="67"/>
        <v>10000</v>
      </c>
      <c r="P63" s="574">
        <f t="shared" si="67"/>
        <v>9999.9999999999982</v>
      </c>
      <c r="Q63" s="574">
        <f t="shared" si="67"/>
        <v>9999.9999999999964</v>
      </c>
      <c r="R63" s="574">
        <f t="shared" si="67"/>
        <v>9999.9999999999964</v>
      </c>
      <c r="S63" s="575">
        <f t="shared" si="67"/>
        <v>10000</v>
      </c>
      <c r="T63" s="358">
        <f>S12</f>
        <v>10000</v>
      </c>
      <c r="U63" s="571">
        <f t="shared" si="50"/>
        <v>348.62570735650769</v>
      </c>
    </row>
    <row r="64" spans="2:46">
      <c r="C64" s="58"/>
      <c r="D64" s="558"/>
      <c r="E64" s="576"/>
      <c r="F64" s="402"/>
      <c r="G64" s="555" t="s">
        <v>87</v>
      </c>
      <c r="H64" s="556">
        <v>1</v>
      </c>
      <c r="I64" s="556">
        <v>1</v>
      </c>
      <c r="J64" s="556">
        <v>1</v>
      </c>
      <c r="K64" s="556">
        <v>1</v>
      </c>
      <c r="L64" s="556">
        <v>1</v>
      </c>
      <c r="M64" s="556">
        <v>1</v>
      </c>
      <c r="N64" s="556">
        <v>1</v>
      </c>
      <c r="O64" s="556">
        <v>1</v>
      </c>
      <c r="P64" s="556">
        <v>1</v>
      </c>
      <c r="Q64" s="556">
        <v>1</v>
      </c>
      <c r="R64" s="556">
        <v>1</v>
      </c>
      <c r="S64" s="557">
        <f>S63/G63-1</f>
        <v>0</v>
      </c>
      <c r="U64" s="358"/>
      <c r="V64" s="80"/>
      <c r="W64" s="80"/>
    </row>
    <row r="65" spans="2:46">
      <c r="C65" s="58"/>
      <c r="D65" s="558"/>
      <c r="E65" s="576"/>
      <c r="F65" s="402"/>
      <c r="G65" s="576"/>
      <c r="H65" s="577"/>
      <c r="I65" s="577"/>
      <c r="J65" s="577"/>
      <c r="K65" s="577"/>
      <c r="L65" s="577"/>
      <c r="M65" s="577"/>
      <c r="N65" s="577"/>
      <c r="O65" s="577"/>
      <c r="P65" s="577"/>
      <c r="Q65" s="577"/>
      <c r="R65" s="577"/>
      <c r="S65" s="578"/>
      <c r="U65" s="358"/>
      <c r="V65" s="80"/>
      <c r="W65" s="80"/>
    </row>
    <row r="66" spans="2:46" s="229" customFormat="1">
      <c r="C66" s="579"/>
      <c r="D66" s="580"/>
      <c r="E66" s="581" t="s">
        <v>325</v>
      </c>
      <c r="F66" s="582"/>
      <c r="G66" s="583">
        <v>13173.255292207699</v>
      </c>
      <c r="H66" s="583">
        <v>13861.136545473901</v>
      </c>
      <c r="I66" s="583">
        <v>13103.6723249524</v>
      </c>
      <c r="J66" s="583">
        <v>15172.298635495799</v>
      </c>
      <c r="K66" s="583">
        <v>16791.2368380632</v>
      </c>
      <c r="L66" s="583">
        <v>15450.268546158301</v>
      </c>
      <c r="M66" s="583">
        <v>18233.044217079001</v>
      </c>
      <c r="N66" s="583">
        <v>21990.171353972801</v>
      </c>
      <c r="O66" s="583">
        <v>18457.797096704398</v>
      </c>
      <c r="P66" s="583">
        <v>14907.202516339499</v>
      </c>
      <c r="Q66" s="583">
        <v>12900.3641596448</v>
      </c>
      <c r="R66" s="583">
        <v>13380.6175437853</v>
      </c>
      <c r="S66" s="583">
        <v>13487.614814987901</v>
      </c>
      <c r="T66" s="229" t="s">
        <v>355</v>
      </c>
      <c r="U66" s="584"/>
      <c r="V66" s="585"/>
      <c r="W66" s="585"/>
    </row>
    <row r="67" spans="2:46">
      <c r="C67" s="58"/>
      <c r="D67" s="558"/>
      <c r="E67" s="586"/>
      <c r="G67" s="564" t="s">
        <v>327</v>
      </c>
      <c r="H67" s="587">
        <f>H66/$G$66</f>
        <v>1.0522180158212755</v>
      </c>
      <c r="I67" s="587">
        <f t="shared" ref="I67:R67" si="68">I66/$G$66</f>
        <v>0.99471786086948011</v>
      </c>
      <c r="J67" s="587">
        <f t="shared" si="68"/>
        <v>1.15175014064068</v>
      </c>
      <c r="K67" s="587">
        <f t="shared" si="68"/>
        <v>1.2746459751672485</v>
      </c>
      <c r="L67" s="587">
        <f t="shared" si="68"/>
        <v>1.1728512204039279</v>
      </c>
      <c r="M67" s="587">
        <f t="shared" si="68"/>
        <v>1.3840955642804775</v>
      </c>
      <c r="N67" s="587">
        <f t="shared" si="68"/>
        <v>1.6693042734076915</v>
      </c>
      <c r="O67" s="587">
        <f t="shared" si="68"/>
        <v>1.4011568657310265</v>
      </c>
      <c r="P67" s="587">
        <f t="shared" si="68"/>
        <v>1.1316263281679109</v>
      </c>
      <c r="Q67" s="587">
        <f t="shared" si="68"/>
        <v>0.97928445729550828</v>
      </c>
      <c r="R67" s="587">
        <f t="shared" si="68"/>
        <v>1.0157411548609598</v>
      </c>
      <c r="S67" s="588"/>
      <c r="T67" s="589">
        <f>Proforma!P15</f>
        <v>11037.6036</v>
      </c>
      <c r="U67" s="358"/>
      <c r="V67" s="80"/>
      <c r="W67" s="80"/>
    </row>
    <row r="68" spans="2:46">
      <c r="C68" s="58"/>
      <c r="D68" s="558"/>
      <c r="E68" s="590"/>
      <c r="G68" s="564"/>
      <c r="H68" s="587"/>
      <c r="I68" s="587"/>
      <c r="J68" s="587"/>
      <c r="K68" s="587"/>
      <c r="L68" s="587"/>
      <c r="M68" s="587"/>
      <c r="N68" s="587"/>
      <c r="O68" s="587"/>
      <c r="P68" s="587"/>
      <c r="Q68" s="587"/>
      <c r="R68" s="587"/>
      <c r="S68" s="588"/>
      <c r="U68" s="358"/>
      <c r="V68" s="80"/>
      <c r="W68" s="80"/>
    </row>
    <row r="69" spans="2:46">
      <c r="C69" s="58" t="s">
        <v>361</v>
      </c>
      <c r="G69" s="569"/>
      <c r="U69" s="58"/>
    </row>
    <row r="70" spans="2:46">
      <c r="C70" s="521" t="s">
        <v>83</v>
      </c>
      <c r="D70" s="521" t="s">
        <v>84</v>
      </c>
      <c r="E70" s="521" t="s">
        <v>144</v>
      </c>
      <c r="G70" s="569"/>
      <c r="H70" s="459"/>
      <c r="U70" s="218" t="s">
        <v>326</v>
      </c>
      <c r="AI70" s="540"/>
      <c r="AJ70" s="540"/>
      <c r="AK70" s="540"/>
      <c r="AL70" s="540"/>
      <c r="AM70" s="540"/>
      <c r="AN70" s="540"/>
      <c r="AO70" s="540"/>
      <c r="AP70" s="540"/>
      <c r="AQ70" s="540"/>
      <c r="AR70" s="540"/>
      <c r="AS70" s="540"/>
      <c r="AT70" s="540"/>
    </row>
    <row r="71" spans="2:46">
      <c r="B71" s="340">
        <v>1</v>
      </c>
      <c r="C71" s="1" t="str">
        <f>C53</f>
        <v>King</v>
      </c>
      <c r="D71" s="541">
        <f>D53</f>
        <v>27</v>
      </c>
      <c r="E71" s="542">
        <f>E53</f>
        <v>100</v>
      </c>
      <c r="G71" s="591">
        <f>G35*G53</f>
        <v>8000</v>
      </c>
      <c r="H71" s="40">
        <f t="shared" ref="H71:R71" si="69">H35*H53</f>
        <v>8413.6566558441536</v>
      </c>
      <c r="I71" s="40">
        <f t="shared" si="69"/>
        <v>8103.0844155844188</v>
      </c>
      <c r="J71" s="40">
        <f t="shared" si="69"/>
        <v>7117.1672077922058</v>
      </c>
      <c r="K71" s="40">
        <f t="shared" si="69"/>
        <v>8809.2532467532474</v>
      </c>
      <c r="L71" s="40">
        <f t="shared" si="69"/>
        <v>9317.1942640692596</v>
      </c>
      <c r="M71" s="40">
        <f t="shared" si="69"/>
        <v>9153.4090909090919</v>
      </c>
      <c r="N71" s="40">
        <f t="shared" si="69"/>
        <v>9163.1493506493462</v>
      </c>
      <c r="O71" s="40">
        <f t="shared" si="69"/>
        <v>9315.0974025974028</v>
      </c>
      <c r="P71" s="40">
        <f t="shared" si="69"/>
        <v>9016.2337662337632</v>
      </c>
      <c r="Q71" s="40">
        <f t="shared" si="69"/>
        <v>8361.4448051948075</v>
      </c>
      <c r="R71" s="40">
        <f t="shared" si="69"/>
        <v>8532.0616883116891</v>
      </c>
      <c r="S71" s="127">
        <f t="shared" ref="S71" si="70">S35*S53</f>
        <v>8610.9655755203712</v>
      </c>
      <c r="U71" s="571">
        <f>IFERROR(S71/D71,"")</f>
        <v>318.92465094519895</v>
      </c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</row>
    <row r="72" spans="2:46">
      <c r="B72" s="340">
        <f t="shared" ref="B72:B80" si="71">B71+1</f>
        <v>2</v>
      </c>
      <c r="C72" s="1">
        <f t="shared" ref="C72:E80" si="72">C54</f>
        <v>0</v>
      </c>
      <c r="D72" s="541">
        <f t="shared" si="72"/>
        <v>0</v>
      </c>
      <c r="E72" s="542">
        <f t="shared" si="72"/>
        <v>0</v>
      </c>
      <c r="G72" s="592">
        <f t="shared" ref="G72:R72" si="73">G36*G54</f>
        <v>0</v>
      </c>
      <c r="H72" s="28">
        <f t="shared" si="73"/>
        <v>0</v>
      </c>
      <c r="I72" s="28">
        <f t="shared" si="73"/>
        <v>0</v>
      </c>
      <c r="J72" s="28">
        <f t="shared" si="73"/>
        <v>0</v>
      </c>
      <c r="K72" s="28">
        <f t="shared" si="73"/>
        <v>0</v>
      </c>
      <c r="L72" s="28">
        <f t="shared" si="73"/>
        <v>0</v>
      </c>
      <c r="M72" s="28">
        <f t="shared" si="73"/>
        <v>0</v>
      </c>
      <c r="N72" s="28">
        <f t="shared" si="73"/>
        <v>0</v>
      </c>
      <c r="O72" s="28">
        <f t="shared" si="73"/>
        <v>0</v>
      </c>
      <c r="P72" s="28">
        <f t="shared" si="73"/>
        <v>0</v>
      </c>
      <c r="Q72" s="28">
        <f t="shared" si="73"/>
        <v>0</v>
      </c>
      <c r="R72" s="28">
        <f t="shared" si="73"/>
        <v>0</v>
      </c>
      <c r="S72" s="132" t="e">
        <f t="shared" ref="S72" si="74">S36*S54</f>
        <v>#DIV/0!</v>
      </c>
      <c r="U72" s="571" t="str">
        <f t="shared" ref="U72:U81" si="75">IFERROR(S72/D72,"")</f>
        <v/>
      </c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</row>
    <row r="73" spans="2:46">
      <c r="B73" s="340">
        <f t="shared" si="71"/>
        <v>3</v>
      </c>
      <c r="C73" s="1" t="str">
        <f t="shared" si="72"/>
        <v>Double Double</v>
      </c>
      <c r="D73" s="541">
        <f t="shared" si="72"/>
        <v>28.3</v>
      </c>
      <c r="E73" s="542">
        <f t="shared" si="72"/>
        <v>100</v>
      </c>
      <c r="G73" s="592">
        <f t="shared" ref="G73:R73" si="76">G37*G55</f>
        <v>8000</v>
      </c>
      <c r="H73" s="28">
        <f t="shared" si="76"/>
        <v>8413.6566558441536</v>
      </c>
      <c r="I73" s="28">
        <f t="shared" si="76"/>
        <v>8103.0844155844188</v>
      </c>
      <c r="J73" s="28">
        <f t="shared" si="76"/>
        <v>7117.1672077922058</v>
      </c>
      <c r="K73" s="28">
        <f t="shared" si="76"/>
        <v>8809.2532467532474</v>
      </c>
      <c r="L73" s="28">
        <f t="shared" si="76"/>
        <v>9317.1942640692596</v>
      </c>
      <c r="M73" s="28">
        <f t="shared" si="76"/>
        <v>9153.4090909090919</v>
      </c>
      <c r="N73" s="28">
        <f t="shared" si="76"/>
        <v>9163.1493506493462</v>
      </c>
      <c r="O73" s="28">
        <f t="shared" si="76"/>
        <v>9315.0974025974028</v>
      </c>
      <c r="P73" s="28">
        <f t="shared" si="76"/>
        <v>9016.2337662337632</v>
      </c>
      <c r="Q73" s="28">
        <f t="shared" si="76"/>
        <v>8361.4448051948075</v>
      </c>
      <c r="R73" s="28">
        <f t="shared" si="76"/>
        <v>8532.0616883116891</v>
      </c>
      <c r="S73" s="132">
        <f t="shared" ref="S73" si="77">S37*S55</f>
        <v>8610.9655755203712</v>
      </c>
      <c r="U73" s="571">
        <f t="shared" si="75"/>
        <v>304.27440196185057</v>
      </c>
    </row>
    <row r="74" spans="2:46">
      <c r="B74" s="340">
        <f t="shared" si="71"/>
        <v>4</v>
      </c>
      <c r="C74" s="1">
        <f t="shared" si="72"/>
        <v>0</v>
      </c>
      <c r="D74" s="541">
        <f t="shared" si="72"/>
        <v>0</v>
      </c>
      <c r="E74" s="542">
        <f t="shared" si="72"/>
        <v>0</v>
      </c>
      <c r="G74" s="592">
        <f t="shared" ref="G74:R74" si="78">G38*G56</f>
        <v>0</v>
      </c>
      <c r="H74" s="28">
        <f t="shared" si="78"/>
        <v>0</v>
      </c>
      <c r="I74" s="28">
        <f t="shared" si="78"/>
        <v>0</v>
      </c>
      <c r="J74" s="28">
        <f t="shared" si="78"/>
        <v>0</v>
      </c>
      <c r="K74" s="28">
        <f t="shared" si="78"/>
        <v>0</v>
      </c>
      <c r="L74" s="28">
        <f t="shared" si="78"/>
        <v>0</v>
      </c>
      <c r="M74" s="28">
        <f t="shared" si="78"/>
        <v>0</v>
      </c>
      <c r="N74" s="28">
        <f t="shared" si="78"/>
        <v>0</v>
      </c>
      <c r="O74" s="28">
        <f t="shared" si="78"/>
        <v>0</v>
      </c>
      <c r="P74" s="28">
        <f t="shared" si="78"/>
        <v>0</v>
      </c>
      <c r="Q74" s="28">
        <f t="shared" si="78"/>
        <v>0</v>
      </c>
      <c r="R74" s="28">
        <f t="shared" si="78"/>
        <v>0</v>
      </c>
      <c r="S74" s="132" t="e">
        <f t="shared" ref="S74" si="79">S38*S56</f>
        <v>#DIV/0!</v>
      </c>
      <c r="U74" s="571" t="str">
        <f t="shared" si="75"/>
        <v/>
      </c>
    </row>
    <row r="75" spans="2:46">
      <c r="B75" s="340">
        <f t="shared" si="71"/>
        <v>5</v>
      </c>
      <c r="C75" s="1">
        <f t="shared" si="72"/>
        <v>0</v>
      </c>
      <c r="D75" s="541">
        <f t="shared" si="72"/>
        <v>0</v>
      </c>
      <c r="E75" s="542">
        <f t="shared" si="72"/>
        <v>0</v>
      </c>
      <c r="G75" s="592">
        <f t="shared" ref="G75:R75" si="80">G39*G57</f>
        <v>0</v>
      </c>
      <c r="H75" s="28">
        <f t="shared" si="80"/>
        <v>0</v>
      </c>
      <c r="I75" s="28">
        <f t="shared" si="80"/>
        <v>0</v>
      </c>
      <c r="J75" s="28">
        <f t="shared" si="80"/>
        <v>0</v>
      </c>
      <c r="K75" s="28">
        <f t="shared" si="80"/>
        <v>0</v>
      </c>
      <c r="L75" s="28">
        <f t="shared" si="80"/>
        <v>0</v>
      </c>
      <c r="M75" s="28">
        <f t="shared" si="80"/>
        <v>0</v>
      </c>
      <c r="N75" s="28">
        <f t="shared" si="80"/>
        <v>0</v>
      </c>
      <c r="O75" s="28">
        <f t="shared" si="80"/>
        <v>0</v>
      </c>
      <c r="P75" s="28">
        <f t="shared" si="80"/>
        <v>0</v>
      </c>
      <c r="Q75" s="28">
        <f t="shared" si="80"/>
        <v>0</v>
      </c>
      <c r="R75" s="28">
        <f t="shared" si="80"/>
        <v>0</v>
      </c>
      <c r="S75" s="132" t="e">
        <f t="shared" ref="S75" si="81">S39*S57</f>
        <v>#DIV/0!</v>
      </c>
      <c r="U75" s="571" t="str">
        <f t="shared" si="75"/>
        <v/>
      </c>
    </row>
    <row r="76" spans="2:46">
      <c r="B76" s="340">
        <f t="shared" si="71"/>
        <v>6</v>
      </c>
      <c r="C76" s="1">
        <f t="shared" si="72"/>
        <v>0</v>
      </c>
      <c r="D76" s="541">
        <f t="shared" si="72"/>
        <v>0</v>
      </c>
      <c r="E76" s="542">
        <f t="shared" si="72"/>
        <v>0</v>
      </c>
      <c r="G76" s="592">
        <f t="shared" ref="G76:R76" si="82">G40*G58</f>
        <v>0</v>
      </c>
      <c r="H76" s="28">
        <f t="shared" si="82"/>
        <v>0</v>
      </c>
      <c r="I76" s="28">
        <f t="shared" si="82"/>
        <v>0</v>
      </c>
      <c r="J76" s="28">
        <f t="shared" si="82"/>
        <v>0</v>
      </c>
      <c r="K76" s="28">
        <f t="shared" si="82"/>
        <v>0</v>
      </c>
      <c r="L76" s="28">
        <f t="shared" si="82"/>
        <v>0</v>
      </c>
      <c r="M76" s="28">
        <f t="shared" si="82"/>
        <v>0</v>
      </c>
      <c r="N76" s="28">
        <f t="shared" si="82"/>
        <v>0</v>
      </c>
      <c r="O76" s="28">
        <f t="shared" si="82"/>
        <v>0</v>
      </c>
      <c r="P76" s="28">
        <f t="shared" si="82"/>
        <v>0</v>
      </c>
      <c r="Q76" s="28">
        <f t="shared" si="82"/>
        <v>0</v>
      </c>
      <c r="R76" s="28">
        <f t="shared" si="82"/>
        <v>0</v>
      </c>
      <c r="S76" s="132" t="e">
        <f t="shared" ref="S76" si="83">S40*S58</f>
        <v>#DIV/0!</v>
      </c>
      <c r="U76" s="571" t="str">
        <f t="shared" si="75"/>
        <v/>
      </c>
    </row>
    <row r="77" spans="2:46">
      <c r="B77" s="340">
        <f t="shared" si="71"/>
        <v>7</v>
      </c>
      <c r="C77" s="1" t="str">
        <f t="shared" si="72"/>
        <v>Junior Suite</v>
      </c>
      <c r="D77" s="541">
        <f t="shared" si="72"/>
        <v>54</v>
      </c>
      <c r="E77" s="542">
        <f t="shared" si="72"/>
        <v>5</v>
      </c>
      <c r="G77" s="592">
        <f t="shared" ref="G77:R77" si="84">G41*G59</f>
        <v>8000</v>
      </c>
      <c r="H77" s="28">
        <f t="shared" si="84"/>
        <v>8413.6566558441536</v>
      </c>
      <c r="I77" s="28">
        <f t="shared" si="84"/>
        <v>8103.0844155844188</v>
      </c>
      <c r="J77" s="28">
        <f t="shared" si="84"/>
        <v>7117.1672077922058</v>
      </c>
      <c r="K77" s="28">
        <f t="shared" si="84"/>
        <v>8809.2532467532474</v>
      </c>
      <c r="L77" s="28">
        <f t="shared" si="84"/>
        <v>9317.1942640692596</v>
      </c>
      <c r="M77" s="28">
        <f t="shared" si="84"/>
        <v>9153.4090909090919</v>
      </c>
      <c r="N77" s="28">
        <f t="shared" si="84"/>
        <v>9163.1493506493462</v>
      </c>
      <c r="O77" s="28">
        <f t="shared" si="84"/>
        <v>9315.0974025974028</v>
      </c>
      <c r="P77" s="28">
        <f t="shared" si="84"/>
        <v>9016.2337662337632</v>
      </c>
      <c r="Q77" s="28">
        <f t="shared" si="84"/>
        <v>8361.4448051948075</v>
      </c>
      <c r="R77" s="28">
        <f t="shared" si="84"/>
        <v>8532.0616883116891</v>
      </c>
      <c r="S77" s="132">
        <f t="shared" ref="S77" si="85">S41*S59</f>
        <v>8610.9655755203694</v>
      </c>
      <c r="U77" s="571">
        <f t="shared" si="75"/>
        <v>159.46232547259945</v>
      </c>
    </row>
    <row r="78" spans="2:46">
      <c r="B78" s="340">
        <f t="shared" si="71"/>
        <v>8</v>
      </c>
      <c r="C78" s="1" t="str">
        <f t="shared" si="72"/>
        <v>Family Suite</v>
      </c>
      <c r="D78" s="541">
        <f t="shared" si="72"/>
        <v>56.6</v>
      </c>
      <c r="E78" s="542">
        <f t="shared" si="72"/>
        <v>1</v>
      </c>
      <c r="G78" s="592">
        <f t="shared" ref="G78:R78" si="86">G42*G60</f>
        <v>8000</v>
      </c>
      <c r="H78" s="28">
        <f t="shared" si="86"/>
        <v>8413.6566558441536</v>
      </c>
      <c r="I78" s="28">
        <f t="shared" si="86"/>
        <v>8103.0844155844188</v>
      </c>
      <c r="J78" s="28">
        <f t="shared" si="86"/>
        <v>7117.1672077922058</v>
      </c>
      <c r="K78" s="28">
        <f t="shared" si="86"/>
        <v>8809.2532467532474</v>
      </c>
      <c r="L78" s="28">
        <f t="shared" si="86"/>
        <v>9317.1942640692596</v>
      </c>
      <c r="M78" s="28">
        <f t="shared" si="86"/>
        <v>9153.4090909090919</v>
      </c>
      <c r="N78" s="28">
        <f t="shared" si="86"/>
        <v>9163.1493506493462</v>
      </c>
      <c r="O78" s="28">
        <f t="shared" si="86"/>
        <v>9315.0974025974028</v>
      </c>
      <c r="P78" s="28">
        <f t="shared" si="86"/>
        <v>9016.2337662337632</v>
      </c>
      <c r="Q78" s="28">
        <f t="shared" si="86"/>
        <v>8361.4448051948075</v>
      </c>
      <c r="R78" s="28">
        <f t="shared" si="86"/>
        <v>8532.0616883116891</v>
      </c>
      <c r="S78" s="132">
        <f t="shared" ref="S78" si="87">S42*S60</f>
        <v>8610.9655755203694</v>
      </c>
      <c r="U78" s="571">
        <f t="shared" si="75"/>
        <v>152.13720098092526</v>
      </c>
    </row>
    <row r="79" spans="2:46">
      <c r="B79" s="340">
        <f t="shared" si="71"/>
        <v>9</v>
      </c>
      <c r="C79" s="1" t="str">
        <f t="shared" si="72"/>
        <v>Exec. Suite</v>
      </c>
      <c r="D79" s="541">
        <f t="shared" si="72"/>
        <v>81</v>
      </c>
      <c r="E79" s="542">
        <f t="shared" si="72"/>
        <v>1</v>
      </c>
      <c r="G79" s="592">
        <f t="shared" ref="G79:R79" si="88">G43*G61</f>
        <v>8000</v>
      </c>
      <c r="H79" s="28">
        <f t="shared" si="88"/>
        <v>8413.6566558441536</v>
      </c>
      <c r="I79" s="28">
        <f t="shared" si="88"/>
        <v>8103.0844155844188</v>
      </c>
      <c r="J79" s="28">
        <f t="shared" si="88"/>
        <v>7117.1672077922058</v>
      </c>
      <c r="K79" s="28">
        <f t="shared" si="88"/>
        <v>8809.2532467532474</v>
      </c>
      <c r="L79" s="28">
        <f t="shared" si="88"/>
        <v>9317.1942640692596</v>
      </c>
      <c r="M79" s="28">
        <f t="shared" si="88"/>
        <v>9153.4090909090919</v>
      </c>
      <c r="N79" s="28">
        <f t="shared" si="88"/>
        <v>9163.1493506493462</v>
      </c>
      <c r="O79" s="28">
        <f t="shared" si="88"/>
        <v>9315.0974025974028</v>
      </c>
      <c r="P79" s="28">
        <f t="shared" si="88"/>
        <v>9016.2337662337632</v>
      </c>
      <c r="Q79" s="28">
        <f t="shared" si="88"/>
        <v>8361.4448051948075</v>
      </c>
      <c r="R79" s="28">
        <f t="shared" si="88"/>
        <v>8532.0616883116891</v>
      </c>
      <c r="S79" s="132">
        <f t="shared" ref="S79" si="89">S43*S61</f>
        <v>8610.9655755203694</v>
      </c>
      <c r="U79" s="571">
        <f t="shared" si="75"/>
        <v>106.30821698173295</v>
      </c>
    </row>
    <row r="80" spans="2:46">
      <c r="B80" s="340">
        <f t="shared" si="71"/>
        <v>10</v>
      </c>
      <c r="C80" s="1">
        <f t="shared" si="72"/>
        <v>0</v>
      </c>
      <c r="D80" s="522">
        <f t="shared" si="72"/>
        <v>0</v>
      </c>
      <c r="E80" s="523">
        <f t="shared" si="72"/>
        <v>0</v>
      </c>
      <c r="G80" s="572">
        <f t="shared" ref="G80:R81" si="90">G44*G62</f>
        <v>0</v>
      </c>
      <c r="H80" s="28">
        <f t="shared" si="90"/>
        <v>0</v>
      </c>
      <c r="I80" s="28">
        <f t="shared" si="90"/>
        <v>0</v>
      </c>
      <c r="J80" s="28">
        <f t="shared" si="90"/>
        <v>0</v>
      </c>
      <c r="K80" s="28">
        <f t="shared" si="90"/>
        <v>0</v>
      </c>
      <c r="L80" s="28">
        <f t="shared" si="90"/>
        <v>0</v>
      </c>
      <c r="M80" s="28">
        <f t="shared" si="90"/>
        <v>0</v>
      </c>
      <c r="N80" s="28">
        <f t="shared" si="90"/>
        <v>0</v>
      </c>
      <c r="O80" s="28">
        <f t="shared" si="90"/>
        <v>0</v>
      </c>
      <c r="P80" s="28">
        <f t="shared" si="90"/>
        <v>0</v>
      </c>
      <c r="Q80" s="28">
        <f t="shared" si="90"/>
        <v>0</v>
      </c>
      <c r="R80" s="28">
        <f t="shared" si="90"/>
        <v>0</v>
      </c>
      <c r="S80" s="132" t="str">
        <f>IFERROR(S116/S47,"")</f>
        <v/>
      </c>
      <c r="U80" s="571" t="str">
        <f t="shared" si="75"/>
        <v/>
      </c>
    </row>
    <row r="81" spans="2:23">
      <c r="C81" s="58" t="s">
        <v>85</v>
      </c>
      <c r="D81" s="532">
        <f>SUMPRODUCT(D71:D80,E71:E80)/E81</f>
        <v>28.684057971014493</v>
      </c>
      <c r="E81" s="533">
        <f>SUM(E71:E80)</f>
        <v>207</v>
      </c>
      <c r="G81" s="573">
        <f t="shared" si="90"/>
        <v>8000</v>
      </c>
      <c r="H81" s="574">
        <f t="shared" si="90"/>
        <v>8413.6566558441518</v>
      </c>
      <c r="I81" s="574">
        <f t="shared" si="90"/>
        <v>8103.084415584417</v>
      </c>
      <c r="J81" s="574">
        <f t="shared" si="90"/>
        <v>7117.167207792204</v>
      </c>
      <c r="K81" s="574">
        <f t="shared" si="90"/>
        <v>8809.2532467532474</v>
      </c>
      <c r="L81" s="574">
        <f t="shared" si="90"/>
        <v>9317.1942640692596</v>
      </c>
      <c r="M81" s="574">
        <f t="shared" si="90"/>
        <v>9153.4090909090919</v>
      </c>
      <c r="N81" s="574">
        <f t="shared" si="90"/>
        <v>9163.149350649348</v>
      </c>
      <c r="O81" s="574">
        <f t="shared" si="90"/>
        <v>9315.0974025974047</v>
      </c>
      <c r="P81" s="574">
        <f t="shared" si="90"/>
        <v>9016.2337662337613</v>
      </c>
      <c r="Q81" s="574">
        <f t="shared" si="90"/>
        <v>8361.4448051948038</v>
      </c>
      <c r="R81" s="574">
        <f t="shared" si="90"/>
        <v>8532.0616883116872</v>
      </c>
      <c r="S81" s="575">
        <f>IFERROR(S117/S48,"")</f>
        <v>0</v>
      </c>
      <c r="T81" s="358">
        <f t="shared" ref="T81" si="91">T45*T63</f>
        <v>8610.9655755203694</v>
      </c>
      <c r="U81" s="571">
        <f t="shared" si="75"/>
        <v>0</v>
      </c>
    </row>
    <row r="82" spans="2:23">
      <c r="C82" s="58"/>
      <c r="D82" s="558"/>
      <c r="E82" s="576"/>
      <c r="F82" s="402"/>
      <c r="G82" s="555" t="s">
        <v>87</v>
      </c>
      <c r="H82" s="556">
        <v>1</v>
      </c>
      <c r="I82" s="556">
        <v>1</v>
      </c>
      <c r="J82" s="556">
        <v>1</v>
      </c>
      <c r="K82" s="556">
        <v>1</v>
      </c>
      <c r="L82" s="556">
        <v>1</v>
      </c>
      <c r="M82" s="556">
        <v>1</v>
      </c>
      <c r="N82" s="556">
        <v>1</v>
      </c>
      <c r="O82" s="556">
        <v>1</v>
      </c>
      <c r="P82" s="556">
        <v>1</v>
      </c>
      <c r="Q82" s="556">
        <v>1</v>
      </c>
      <c r="R82" s="556">
        <v>1</v>
      </c>
      <c r="S82" s="557">
        <f>S81/G81-1</f>
        <v>-1</v>
      </c>
      <c r="U82" s="358"/>
      <c r="V82" s="80"/>
      <c r="W82" s="80"/>
    </row>
    <row r="83" spans="2:23">
      <c r="C83" s="58"/>
      <c r="D83" s="558"/>
      <c r="E83" s="576"/>
      <c r="F83" s="402"/>
      <c r="G83" s="576"/>
      <c r="H83" s="577"/>
      <c r="I83" s="577"/>
      <c r="J83" s="577"/>
      <c r="K83" s="577"/>
      <c r="L83" s="577"/>
      <c r="M83" s="577"/>
      <c r="N83" s="577"/>
      <c r="O83" s="577"/>
      <c r="P83" s="577"/>
      <c r="Q83" s="577"/>
      <c r="R83" s="577"/>
      <c r="S83" s="578"/>
      <c r="U83" s="358"/>
      <c r="V83" s="80"/>
      <c r="W83" s="80"/>
    </row>
    <row r="84" spans="2:23" s="229" customFormat="1">
      <c r="C84" s="579"/>
      <c r="D84" s="580"/>
      <c r="E84" s="581" t="s">
        <v>325</v>
      </c>
      <c r="F84" s="582"/>
      <c r="G84" s="583">
        <v>10483.717886067183</v>
      </c>
      <c r="H84" s="583">
        <v>11601.545763186063</v>
      </c>
      <c r="I84" s="583">
        <v>10562.716364810836</v>
      </c>
      <c r="J84" s="583">
        <v>10742.13934680847</v>
      </c>
      <c r="K84" s="583">
        <v>14714.788114457573</v>
      </c>
      <c r="L84" s="583">
        <v>14320.342773883965</v>
      </c>
      <c r="M84" s="583">
        <v>16602.530553191475</v>
      </c>
      <c r="N84" s="583">
        <v>20044.979160644252</v>
      </c>
      <c r="O84" s="583">
        <v>17104.07130212757</v>
      </c>
      <c r="P84" s="583">
        <v>13370.681541563972</v>
      </c>
      <c r="Q84" s="583">
        <v>10730.390513767123</v>
      </c>
      <c r="R84" s="583">
        <v>11356.967282611258</v>
      </c>
      <c r="S84" s="583">
        <v>11553.6508232916</v>
      </c>
      <c r="T84" s="229" t="s">
        <v>355</v>
      </c>
      <c r="U84" s="584"/>
      <c r="V84" s="585"/>
      <c r="W84" s="585"/>
    </row>
    <row r="85" spans="2:23">
      <c r="C85" s="58"/>
      <c r="D85" s="558"/>
      <c r="E85" s="586"/>
      <c r="G85" s="564" t="s">
        <v>327</v>
      </c>
      <c r="H85" s="587">
        <f>H84/$G$66</f>
        <v>0.88068935929972136</v>
      </c>
      <c r="I85" s="587">
        <f t="shared" ref="I85:R85" si="92">I84/$G$66</f>
        <v>0.80183038516371419</v>
      </c>
      <c r="J85" s="587">
        <f t="shared" si="92"/>
        <v>0.8154506314899026</v>
      </c>
      <c r="K85" s="587">
        <f t="shared" si="92"/>
        <v>1.1170198852186315</v>
      </c>
      <c r="L85" s="587">
        <f t="shared" si="92"/>
        <v>1.0870769947314993</v>
      </c>
      <c r="M85" s="587">
        <f t="shared" si="92"/>
        <v>1.2603210205007016</v>
      </c>
      <c r="N85" s="587">
        <f t="shared" si="92"/>
        <v>1.5216420479227595</v>
      </c>
      <c r="O85" s="587">
        <f t="shared" si="92"/>
        <v>1.2983936713232183</v>
      </c>
      <c r="P85" s="587">
        <f t="shared" si="92"/>
        <v>1.0149868992118489</v>
      </c>
      <c r="Q85" s="587">
        <f t="shared" si="92"/>
        <v>0.81455876134993066</v>
      </c>
      <c r="R85" s="587">
        <f t="shared" si="92"/>
        <v>0.86212306910420089</v>
      </c>
      <c r="S85" s="588"/>
      <c r="T85" s="28">
        <f t="shared" ref="T85" si="93">T49*T67</f>
        <v>10553.014805583971</v>
      </c>
      <c r="U85" s="358"/>
      <c r="V85" s="80"/>
      <c r="W85" s="80"/>
    </row>
    <row r="86" spans="2:23">
      <c r="C86" s="58"/>
      <c r="D86" s="558"/>
      <c r="E86" s="590"/>
      <c r="G86" s="564"/>
      <c r="H86" s="587"/>
      <c r="I86" s="587"/>
      <c r="J86" s="587"/>
      <c r="K86" s="587"/>
      <c r="L86" s="587"/>
      <c r="M86" s="587"/>
      <c r="N86" s="587"/>
      <c r="O86" s="587"/>
      <c r="P86" s="587"/>
      <c r="Q86" s="587"/>
      <c r="R86" s="587"/>
      <c r="S86" s="588"/>
      <c r="U86" s="358"/>
      <c r="V86" s="80"/>
      <c r="W86" s="80"/>
    </row>
    <row r="87" spans="2:23">
      <c r="C87" s="58" t="s">
        <v>88</v>
      </c>
    </row>
    <row r="88" spans="2:23">
      <c r="C88" s="521" t="s">
        <v>83</v>
      </c>
      <c r="D88" s="521" t="s">
        <v>84</v>
      </c>
      <c r="E88" s="521" t="s">
        <v>328</v>
      </c>
      <c r="G88" s="593"/>
    </row>
    <row r="89" spans="2:23">
      <c r="B89" s="340">
        <v>1</v>
      </c>
      <c r="C89" s="1" t="str">
        <f>C53</f>
        <v>King</v>
      </c>
      <c r="D89" s="541">
        <f>D53</f>
        <v>27</v>
      </c>
      <c r="E89" s="542">
        <f>E53</f>
        <v>100</v>
      </c>
      <c r="G89" s="594">
        <f t="shared" ref="G89:R89" si="94">G53*G20</f>
        <v>24800000</v>
      </c>
      <c r="H89" s="63">
        <f t="shared" si="94"/>
        <v>23558238.636363629</v>
      </c>
      <c r="I89" s="63">
        <f t="shared" si="94"/>
        <v>25119561.688311696</v>
      </c>
      <c r="J89" s="63">
        <f t="shared" si="94"/>
        <v>21351501.623376615</v>
      </c>
      <c r="K89" s="63">
        <f t="shared" si="94"/>
        <v>27308685.06493507</v>
      </c>
      <c r="L89" s="63">
        <f t="shared" si="94"/>
        <v>27951582.792207781</v>
      </c>
      <c r="M89" s="63">
        <f t="shared" si="94"/>
        <v>28375568.181818191</v>
      </c>
      <c r="N89" s="63">
        <f t="shared" si="94"/>
        <v>28405762.987012971</v>
      </c>
      <c r="O89" s="63">
        <f t="shared" si="94"/>
        <v>27945292.207792208</v>
      </c>
      <c r="P89" s="63">
        <f t="shared" si="94"/>
        <v>27950324.675324664</v>
      </c>
      <c r="Q89" s="63">
        <f t="shared" si="94"/>
        <v>25084334.415584423</v>
      </c>
      <c r="R89" s="63">
        <f t="shared" si="94"/>
        <v>26449391.233766235</v>
      </c>
      <c r="S89" s="127">
        <f>SUM(G89:R89)</f>
        <v>314300243.50649357</v>
      </c>
      <c r="T89" s="136">
        <f t="shared" ref="T89:T99" si="95">S89/S20</f>
        <v>10000.000000000002</v>
      </c>
    </row>
    <row r="90" spans="2:23">
      <c r="B90" s="340">
        <f t="shared" ref="B90:B98" si="96">B89+1</f>
        <v>2</v>
      </c>
      <c r="C90" s="1">
        <f t="shared" ref="C90:D98" si="97">C54</f>
        <v>0</v>
      </c>
      <c r="D90" s="541">
        <f t="shared" si="97"/>
        <v>0</v>
      </c>
      <c r="E90" s="542">
        <f t="shared" ref="E90" si="98">E54</f>
        <v>0</v>
      </c>
      <c r="G90" s="595">
        <f t="shared" ref="G90:R90" si="99">G54*G21</f>
        <v>0</v>
      </c>
      <c r="H90" s="59">
        <f t="shared" si="99"/>
        <v>0</v>
      </c>
      <c r="I90" s="59">
        <f t="shared" si="99"/>
        <v>0</v>
      </c>
      <c r="J90" s="59">
        <f t="shared" si="99"/>
        <v>0</v>
      </c>
      <c r="K90" s="59">
        <f t="shared" si="99"/>
        <v>0</v>
      </c>
      <c r="L90" s="59">
        <f t="shared" si="99"/>
        <v>0</v>
      </c>
      <c r="M90" s="59">
        <f t="shared" si="99"/>
        <v>0</v>
      </c>
      <c r="N90" s="59">
        <f t="shared" si="99"/>
        <v>0</v>
      </c>
      <c r="O90" s="59">
        <f t="shared" si="99"/>
        <v>0</v>
      </c>
      <c r="P90" s="59">
        <f t="shared" si="99"/>
        <v>0</v>
      </c>
      <c r="Q90" s="59">
        <f t="shared" si="99"/>
        <v>0</v>
      </c>
      <c r="R90" s="59">
        <f t="shared" si="99"/>
        <v>0</v>
      </c>
      <c r="S90" s="132">
        <f t="shared" ref="S90:S98" si="100">SUM(G90:R90)</f>
        <v>0</v>
      </c>
      <c r="T90" s="136" t="e">
        <f t="shared" si="95"/>
        <v>#DIV/0!</v>
      </c>
    </row>
    <row r="91" spans="2:23">
      <c r="B91" s="340">
        <f t="shared" si="96"/>
        <v>3</v>
      </c>
      <c r="C91" s="1" t="str">
        <f t="shared" si="97"/>
        <v>Double Double</v>
      </c>
      <c r="D91" s="541">
        <f t="shared" si="97"/>
        <v>28.3</v>
      </c>
      <c r="E91" s="542">
        <f t="shared" ref="E91" si="101">E55</f>
        <v>100</v>
      </c>
      <c r="G91" s="595">
        <f t="shared" ref="G91:R91" si="102">G55*G22</f>
        <v>24800000</v>
      </c>
      <c r="H91" s="59">
        <f t="shared" si="102"/>
        <v>23558238.636363629</v>
      </c>
      <c r="I91" s="59">
        <f t="shared" si="102"/>
        <v>25119561.688311696</v>
      </c>
      <c r="J91" s="59">
        <f t="shared" si="102"/>
        <v>21351501.623376615</v>
      </c>
      <c r="K91" s="59">
        <f t="shared" si="102"/>
        <v>27308685.06493507</v>
      </c>
      <c r="L91" s="59">
        <f t="shared" si="102"/>
        <v>27951582.792207781</v>
      </c>
      <c r="M91" s="59">
        <f t="shared" si="102"/>
        <v>28375568.181818191</v>
      </c>
      <c r="N91" s="59">
        <f t="shared" si="102"/>
        <v>28405762.987012971</v>
      </c>
      <c r="O91" s="59">
        <f t="shared" si="102"/>
        <v>27945292.207792208</v>
      </c>
      <c r="P91" s="59">
        <f t="shared" si="102"/>
        <v>27950324.675324664</v>
      </c>
      <c r="Q91" s="59">
        <f t="shared" si="102"/>
        <v>25084334.415584423</v>
      </c>
      <c r="R91" s="59">
        <f t="shared" si="102"/>
        <v>26449391.233766235</v>
      </c>
      <c r="S91" s="132">
        <f t="shared" si="100"/>
        <v>314300243.50649357</v>
      </c>
      <c r="T91" s="136">
        <f t="shared" si="95"/>
        <v>10000.000000000002</v>
      </c>
    </row>
    <row r="92" spans="2:23">
      <c r="B92" s="340">
        <f t="shared" si="96"/>
        <v>4</v>
      </c>
      <c r="C92" s="1">
        <f t="shared" si="97"/>
        <v>0</v>
      </c>
      <c r="D92" s="541">
        <f t="shared" si="97"/>
        <v>0</v>
      </c>
      <c r="E92" s="542">
        <f t="shared" ref="E92" si="103">E56</f>
        <v>0</v>
      </c>
      <c r="G92" s="595">
        <f t="shared" ref="G92:R92" si="104">G56*G23</f>
        <v>0</v>
      </c>
      <c r="H92" s="59">
        <f t="shared" si="104"/>
        <v>0</v>
      </c>
      <c r="I92" s="59">
        <f t="shared" si="104"/>
        <v>0</v>
      </c>
      <c r="J92" s="59">
        <f t="shared" si="104"/>
        <v>0</v>
      </c>
      <c r="K92" s="59">
        <f t="shared" si="104"/>
        <v>0</v>
      </c>
      <c r="L92" s="59">
        <f t="shared" si="104"/>
        <v>0</v>
      </c>
      <c r="M92" s="59">
        <f t="shared" si="104"/>
        <v>0</v>
      </c>
      <c r="N92" s="59">
        <f t="shared" si="104"/>
        <v>0</v>
      </c>
      <c r="O92" s="59">
        <f t="shared" si="104"/>
        <v>0</v>
      </c>
      <c r="P92" s="59">
        <f t="shared" si="104"/>
        <v>0</v>
      </c>
      <c r="Q92" s="59">
        <f t="shared" si="104"/>
        <v>0</v>
      </c>
      <c r="R92" s="59">
        <f t="shared" si="104"/>
        <v>0</v>
      </c>
      <c r="S92" s="132">
        <f t="shared" si="100"/>
        <v>0</v>
      </c>
      <c r="T92" s="136" t="e">
        <f t="shared" si="95"/>
        <v>#DIV/0!</v>
      </c>
    </row>
    <row r="93" spans="2:23">
      <c r="B93" s="340">
        <f t="shared" si="96"/>
        <v>5</v>
      </c>
      <c r="C93" s="1">
        <f t="shared" si="97"/>
        <v>0</v>
      </c>
      <c r="D93" s="541">
        <f t="shared" si="97"/>
        <v>0</v>
      </c>
      <c r="E93" s="542">
        <f t="shared" ref="E93" si="105">E57</f>
        <v>0</v>
      </c>
      <c r="G93" s="595">
        <f t="shared" ref="G93:R93" si="106">G57*G24</f>
        <v>0</v>
      </c>
      <c r="H93" s="59">
        <f t="shared" si="106"/>
        <v>0</v>
      </c>
      <c r="I93" s="59">
        <f t="shared" si="106"/>
        <v>0</v>
      </c>
      <c r="J93" s="59">
        <f t="shared" si="106"/>
        <v>0</v>
      </c>
      <c r="K93" s="59">
        <f t="shared" si="106"/>
        <v>0</v>
      </c>
      <c r="L93" s="59">
        <f t="shared" si="106"/>
        <v>0</v>
      </c>
      <c r="M93" s="59">
        <f t="shared" si="106"/>
        <v>0</v>
      </c>
      <c r="N93" s="59">
        <f t="shared" si="106"/>
        <v>0</v>
      </c>
      <c r="O93" s="59">
        <f t="shared" si="106"/>
        <v>0</v>
      </c>
      <c r="P93" s="59">
        <f t="shared" si="106"/>
        <v>0</v>
      </c>
      <c r="Q93" s="59">
        <f t="shared" si="106"/>
        <v>0</v>
      </c>
      <c r="R93" s="59">
        <f t="shared" si="106"/>
        <v>0</v>
      </c>
      <c r="S93" s="132">
        <f t="shared" si="100"/>
        <v>0</v>
      </c>
      <c r="T93" s="136" t="e">
        <f t="shared" si="95"/>
        <v>#DIV/0!</v>
      </c>
    </row>
    <row r="94" spans="2:23">
      <c r="B94" s="340">
        <f t="shared" si="96"/>
        <v>6</v>
      </c>
      <c r="C94" s="1">
        <f t="shared" si="97"/>
        <v>0</v>
      </c>
      <c r="D94" s="541">
        <f t="shared" si="97"/>
        <v>0</v>
      </c>
      <c r="E94" s="542">
        <f t="shared" ref="E94" si="107">E58</f>
        <v>0</v>
      </c>
      <c r="G94" s="595">
        <f t="shared" ref="G94:R94" si="108">G58*G25</f>
        <v>0</v>
      </c>
      <c r="H94" s="59">
        <f t="shared" si="108"/>
        <v>0</v>
      </c>
      <c r="I94" s="59">
        <f t="shared" si="108"/>
        <v>0</v>
      </c>
      <c r="J94" s="59">
        <f t="shared" si="108"/>
        <v>0</v>
      </c>
      <c r="K94" s="59">
        <f t="shared" si="108"/>
        <v>0</v>
      </c>
      <c r="L94" s="59">
        <f t="shared" si="108"/>
        <v>0</v>
      </c>
      <c r="M94" s="59">
        <f t="shared" si="108"/>
        <v>0</v>
      </c>
      <c r="N94" s="59">
        <f t="shared" si="108"/>
        <v>0</v>
      </c>
      <c r="O94" s="59">
        <f t="shared" si="108"/>
        <v>0</v>
      </c>
      <c r="P94" s="59">
        <f t="shared" si="108"/>
        <v>0</v>
      </c>
      <c r="Q94" s="59">
        <f t="shared" si="108"/>
        <v>0</v>
      </c>
      <c r="R94" s="59">
        <f t="shared" si="108"/>
        <v>0</v>
      </c>
      <c r="S94" s="132">
        <f t="shared" si="100"/>
        <v>0</v>
      </c>
      <c r="T94" s="136" t="e">
        <f t="shared" si="95"/>
        <v>#DIV/0!</v>
      </c>
    </row>
    <row r="95" spans="2:23">
      <c r="B95" s="340">
        <f t="shared" si="96"/>
        <v>7</v>
      </c>
      <c r="C95" s="1" t="str">
        <f t="shared" si="97"/>
        <v>Junior Suite</v>
      </c>
      <c r="D95" s="541">
        <f t="shared" si="97"/>
        <v>54</v>
      </c>
      <c r="E95" s="542">
        <f t="shared" ref="E95" si="109">E59</f>
        <v>5</v>
      </c>
      <c r="G95" s="595">
        <f t="shared" ref="G95:R95" si="110">G59*G26</f>
        <v>1240000</v>
      </c>
      <c r="H95" s="59">
        <f t="shared" si="110"/>
        <v>1177911.9318181814</v>
      </c>
      <c r="I95" s="59">
        <f t="shared" si="110"/>
        <v>1255978.084415585</v>
      </c>
      <c r="J95" s="59">
        <f t="shared" si="110"/>
        <v>1067575.0811688309</v>
      </c>
      <c r="K95" s="59">
        <f t="shared" si="110"/>
        <v>1365434.2532467535</v>
      </c>
      <c r="L95" s="59">
        <f t="shared" si="110"/>
        <v>1397579.139610389</v>
      </c>
      <c r="M95" s="59">
        <f t="shared" si="110"/>
        <v>1418778.4090909094</v>
      </c>
      <c r="N95" s="59">
        <f t="shared" si="110"/>
        <v>1420288.1493506487</v>
      </c>
      <c r="O95" s="59">
        <f t="shared" si="110"/>
        <v>1397264.6103896105</v>
      </c>
      <c r="P95" s="59">
        <f t="shared" si="110"/>
        <v>1397516.2337662333</v>
      </c>
      <c r="Q95" s="59">
        <f t="shared" si="110"/>
        <v>1254216.720779221</v>
      </c>
      <c r="R95" s="59">
        <f t="shared" si="110"/>
        <v>1322469.5616883119</v>
      </c>
      <c r="S95" s="132">
        <f t="shared" si="100"/>
        <v>15715012.175324675</v>
      </c>
      <c r="T95" s="136">
        <f t="shared" si="95"/>
        <v>10000</v>
      </c>
    </row>
    <row r="96" spans="2:23">
      <c r="B96" s="340">
        <f t="shared" si="96"/>
        <v>8</v>
      </c>
      <c r="C96" s="1" t="str">
        <f t="shared" si="97"/>
        <v>Family Suite</v>
      </c>
      <c r="D96" s="541">
        <f t="shared" si="97"/>
        <v>56.6</v>
      </c>
      <c r="E96" s="542">
        <f t="shared" ref="E96" si="111">E60</f>
        <v>1</v>
      </c>
      <c r="G96" s="595">
        <f t="shared" ref="G96:R96" si="112">G60*G27</f>
        <v>248000</v>
      </c>
      <c r="H96" s="59">
        <f t="shared" si="112"/>
        <v>235582.38636363629</v>
      </c>
      <c r="I96" s="59">
        <f t="shared" si="112"/>
        <v>251195.61688311698</v>
      </c>
      <c r="J96" s="59">
        <f t="shared" si="112"/>
        <v>213515.01623376616</v>
      </c>
      <c r="K96" s="59">
        <f t="shared" si="112"/>
        <v>273086.85064935067</v>
      </c>
      <c r="L96" s="59">
        <f t="shared" si="112"/>
        <v>279515.82792207779</v>
      </c>
      <c r="M96" s="59">
        <f t="shared" si="112"/>
        <v>283755.68181818188</v>
      </c>
      <c r="N96" s="59">
        <f t="shared" si="112"/>
        <v>284057.62987012975</v>
      </c>
      <c r="O96" s="59">
        <f t="shared" si="112"/>
        <v>279452.92207792209</v>
      </c>
      <c r="P96" s="59">
        <f t="shared" si="112"/>
        <v>279503.24675324664</v>
      </c>
      <c r="Q96" s="59">
        <f t="shared" si="112"/>
        <v>250843.34415584421</v>
      </c>
      <c r="R96" s="59">
        <f t="shared" si="112"/>
        <v>264493.91233766236</v>
      </c>
      <c r="S96" s="132">
        <f t="shared" si="100"/>
        <v>3143002.4350649347</v>
      </c>
      <c r="T96" s="136">
        <f t="shared" si="95"/>
        <v>10000</v>
      </c>
    </row>
    <row r="97" spans="2:20">
      <c r="B97" s="340">
        <f t="shared" si="96"/>
        <v>9</v>
      </c>
      <c r="C97" s="1" t="str">
        <f t="shared" si="97"/>
        <v>Exec. Suite</v>
      </c>
      <c r="D97" s="541">
        <f t="shared" si="97"/>
        <v>81</v>
      </c>
      <c r="E97" s="523">
        <f t="shared" ref="E97" si="113">E61</f>
        <v>1</v>
      </c>
      <c r="G97" s="595">
        <f t="shared" ref="G97:R97" si="114">G61*G28</f>
        <v>248000</v>
      </c>
      <c r="H97" s="59">
        <f t="shared" si="114"/>
        <v>235582.38636363629</v>
      </c>
      <c r="I97" s="59">
        <f t="shared" si="114"/>
        <v>251195.61688311698</v>
      </c>
      <c r="J97" s="59">
        <f t="shared" si="114"/>
        <v>213515.01623376616</v>
      </c>
      <c r="K97" s="59">
        <f t="shared" si="114"/>
        <v>273086.85064935067</v>
      </c>
      <c r="L97" s="59">
        <f t="shared" si="114"/>
        <v>279515.82792207779</v>
      </c>
      <c r="M97" s="59">
        <f t="shared" si="114"/>
        <v>283755.68181818188</v>
      </c>
      <c r="N97" s="59">
        <f t="shared" si="114"/>
        <v>284057.62987012975</v>
      </c>
      <c r="O97" s="59">
        <f t="shared" si="114"/>
        <v>279452.92207792209</v>
      </c>
      <c r="P97" s="59">
        <f t="shared" si="114"/>
        <v>279503.24675324664</v>
      </c>
      <c r="Q97" s="59">
        <f t="shared" si="114"/>
        <v>250843.34415584421</v>
      </c>
      <c r="R97" s="59">
        <f t="shared" si="114"/>
        <v>264493.91233766236</v>
      </c>
      <c r="S97" s="132">
        <f t="shared" si="100"/>
        <v>3143002.4350649347</v>
      </c>
      <c r="T97" s="136">
        <f t="shared" si="95"/>
        <v>10000</v>
      </c>
    </row>
    <row r="98" spans="2:20">
      <c r="B98" s="340">
        <f t="shared" si="96"/>
        <v>10</v>
      </c>
      <c r="C98" s="1">
        <f t="shared" si="97"/>
        <v>0</v>
      </c>
      <c r="D98" s="541">
        <f t="shared" si="97"/>
        <v>0</v>
      </c>
      <c r="E98" s="523">
        <f t="shared" ref="E98" si="115">E62</f>
        <v>0</v>
      </c>
      <c r="G98" s="595">
        <f t="shared" ref="G98:R98" si="116">G62*G29</f>
        <v>0</v>
      </c>
      <c r="H98" s="59">
        <f t="shared" si="116"/>
        <v>0</v>
      </c>
      <c r="I98" s="59">
        <f t="shared" si="116"/>
        <v>0</v>
      </c>
      <c r="J98" s="59">
        <f t="shared" si="116"/>
        <v>0</v>
      </c>
      <c r="K98" s="59">
        <f t="shared" si="116"/>
        <v>0</v>
      </c>
      <c r="L98" s="59">
        <f t="shared" si="116"/>
        <v>0</v>
      </c>
      <c r="M98" s="59">
        <f t="shared" si="116"/>
        <v>0</v>
      </c>
      <c r="N98" s="59">
        <f t="shared" si="116"/>
        <v>0</v>
      </c>
      <c r="O98" s="59">
        <f t="shared" si="116"/>
        <v>0</v>
      </c>
      <c r="P98" s="59">
        <f t="shared" si="116"/>
        <v>0</v>
      </c>
      <c r="Q98" s="59">
        <f t="shared" si="116"/>
        <v>0</v>
      </c>
      <c r="R98" s="59">
        <f t="shared" si="116"/>
        <v>0</v>
      </c>
      <c r="S98" s="132">
        <f t="shared" si="100"/>
        <v>0</v>
      </c>
      <c r="T98" s="136" t="e">
        <f t="shared" si="95"/>
        <v>#DIV/0!</v>
      </c>
    </row>
    <row r="99" spans="2:20">
      <c r="C99" s="58" t="s">
        <v>85</v>
      </c>
      <c r="D99" s="532">
        <f>SUMPRODUCT(D89:D98,E89:E98)/E99</f>
        <v>28.684057971014493</v>
      </c>
      <c r="E99" s="533">
        <f>SUM(E89:E98)</f>
        <v>207</v>
      </c>
      <c r="G99" s="596">
        <f t="shared" ref="G99:R99" si="117">SUM(G89:G98)</f>
        <v>51336000</v>
      </c>
      <c r="H99" s="362">
        <f t="shared" si="117"/>
        <v>48765553.977272704</v>
      </c>
      <c r="I99" s="362">
        <f t="shared" si="117"/>
        <v>51997492.694805205</v>
      </c>
      <c r="J99" s="362">
        <f t="shared" si="117"/>
        <v>44197608.36038959</v>
      </c>
      <c r="K99" s="362">
        <f t="shared" si="117"/>
        <v>56528978.084415592</v>
      </c>
      <c r="L99" s="362">
        <f t="shared" si="117"/>
        <v>57859776.379870102</v>
      </c>
      <c r="M99" s="362">
        <f t="shared" si="117"/>
        <v>58737426.136363648</v>
      </c>
      <c r="N99" s="362">
        <f t="shared" si="117"/>
        <v>58799929.383116856</v>
      </c>
      <c r="O99" s="362">
        <f t="shared" si="117"/>
        <v>57846754.870129876</v>
      </c>
      <c r="P99" s="362">
        <f t="shared" si="117"/>
        <v>57857172.077922054</v>
      </c>
      <c r="Q99" s="362">
        <f t="shared" si="117"/>
        <v>51924572.240259744</v>
      </c>
      <c r="R99" s="362">
        <f t="shared" si="117"/>
        <v>54750239.853896104</v>
      </c>
      <c r="S99" s="597">
        <f t="shared" ref="S99" si="118">SUM(G99:R99)</f>
        <v>650601504.05844152</v>
      </c>
      <c r="T99" s="80">
        <f t="shared" si="95"/>
        <v>10000</v>
      </c>
    </row>
    <row r="103" spans="2:20">
      <c r="B103" s="58" t="s">
        <v>89</v>
      </c>
      <c r="C103" s="58"/>
      <c r="G103" s="84" t="s">
        <v>30</v>
      </c>
      <c r="H103" s="84" t="s">
        <v>31</v>
      </c>
      <c r="I103" s="84" t="s">
        <v>32</v>
      </c>
      <c r="J103" s="84" t="s">
        <v>33</v>
      </c>
      <c r="K103" s="84" t="s">
        <v>34</v>
      </c>
    </row>
    <row r="104" spans="2:20">
      <c r="B104" s="62" t="s">
        <v>72</v>
      </c>
      <c r="C104" s="389"/>
      <c r="D104" s="85"/>
      <c r="E104" s="85"/>
      <c r="F104" s="85"/>
      <c r="G104" s="598">
        <f>Proforma!D11</f>
        <v>207</v>
      </c>
      <c r="H104" s="598">
        <f>Proforma!G11</f>
        <v>207</v>
      </c>
      <c r="I104" s="598">
        <f>Proforma!J11</f>
        <v>207</v>
      </c>
      <c r="J104" s="598">
        <f>Proforma!M11</f>
        <v>207</v>
      </c>
      <c r="K104" s="599">
        <f>Proforma!P11</f>
        <v>207</v>
      </c>
    </row>
    <row r="105" spans="2:20">
      <c r="B105" s="72" t="s">
        <v>90</v>
      </c>
      <c r="C105" s="363"/>
      <c r="D105" s="89"/>
      <c r="E105" s="89"/>
      <c r="F105" s="89"/>
      <c r="G105" s="600">
        <f>Proforma!D14</f>
        <v>0.86109655755203696</v>
      </c>
      <c r="H105" s="600">
        <f>Proforma!G14</f>
        <v>0.89109655755203698</v>
      </c>
      <c r="I105" s="600">
        <f>Proforma!J14</f>
        <v>0.92109655755203701</v>
      </c>
      <c r="J105" s="600">
        <f>Proforma!M14</f>
        <v>0.94109655755203703</v>
      </c>
      <c r="K105" s="601">
        <f>Proforma!P14</f>
        <v>0.95609655755203704</v>
      </c>
    </row>
    <row r="106" spans="2:20">
      <c r="C106" s="58"/>
      <c r="G106" s="602"/>
      <c r="H106" s="602"/>
      <c r="I106" s="602"/>
      <c r="J106" s="602"/>
      <c r="K106" s="602"/>
    </row>
    <row r="107" spans="2:20">
      <c r="C107" s="58"/>
      <c r="G107" s="602"/>
      <c r="H107" s="602"/>
      <c r="I107" s="602"/>
      <c r="J107" s="602"/>
      <c r="K107" s="602"/>
    </row>
    <row r="108" spans="2:20" ht="12.75" customHeight="1">
      <c r="C108" s="58"/>
      <c r="F108" s="1"/>
      <c r="G108" s="603"/>
      <c r="H108" s="470" t="s">
        <v>91</v>
      </c>
      <c r="I108" s="470" t="s">
        <v>91</v>
      </c>
      <c r="J108" s="470" t="s">
        <v>91</v>
      </c>
      <c r="K108" s="1"/>
      <c r="L108" s="470" t="s">
        <v>91</v>
      </c>
      <c r="N108" s="569"/>
    </row>
    <row r="109" spans="2:20" ht="12.75" customHeight="1">
      <c r="B109" s="58" t="s">
        <v>92</v>
      </c>
      <c r="G109" s="95" t="s">
        <v>93</v>
      </c>
      <c r="H109" s="95" t="s">
        <v>94</v>
      </c>
      <c r="I109" s="95" t="s">
        <v>95</v>
      </c>
      <c r="J109" s="95" t="s">
        <v>96</v>
      </c>
      <c r="K109" s="95" t="s">
        <v>97</v>
      </c>
      <c r="L109" s="96" t="s">
        <v>98</v>
      </c>
      <c r="M109" s="96" t="s">
        <v>99</v>
      </c>
      <c r="N109" s="96" t="s">
        <v>100</v>
      </c>
      <c r="O109" s="96" t="s">
        <v>101</v>
      </c>
      <c r="P109" s="84"/>
      <c r="Q109" s="96" t="s">
        <v>102</v>
      </c>
      <c r="R109" s="84"/>
      <c r="S109" s="84"/>
      <c r="T109" s="84"/>
    </row>
    <row r="110" spans="2:20">
      <c r="B110" s="125" t="s">
        <v>103</v>
      </c>
      <c r="C110" s="98"/>
      <c r="D110" s="98" t="s">
        <v>104</v>
      </c>
      <c r="E110" s="98" t="s">
        <v>105</v>
      </c>
      <c r="F110" s="98"/>
      <c r="G110" s="99">
        <v>500000</v>
      </c>
      <c r="H110" s="100">
        <f>+G110*0.16</f>
        <v>80000</v>
      </c>
      <c r="I110" s="101">
        <v>10000</v>
      </c>
      <c r="J110" s="101">
        <v>0</v>
      </c>
      <c r="K110" s="100">
        <f>+(G110*2)/12</f>
        <v>83333.333333333328</v>
      </c>
      <c r="L110" s="100">
        <f>+K110*0.16</f>
        <v>13333.333333333332</v>
      </c>
      <c r="M110" s="100">
        <f>H110+I110+K110+L110</f>
        <v>186666.66666666666</v>
      </c>
      <c r="N110" s="102">
        <f>M110+G110</f>
        <v>686666.66666666663</v>
      </c>
      <c r="O110" s="102">
        <f>N110*12</f>
        <v>8240000</v>
      </c>
      <c r="Q110" s="404">
        <f>N110*G131</f>
        <v>686666.66666666663</v>
      </c>
    </row>
    <row r="111" spans="2:20">
      <c r="B111" s="104" t="s">
        <v>106</v>
      </c>
      <c r="C111" s="105"/>
      <c r="D111" s="105" t="s">
        <v>107</v>
      </c>
      <c r="E111" s="105" t="s">
        <v>105</v>
      </c>
      <c r="F111" s="105"/>
      <c r="G111" s="106">
        <v>0</v>
      </c>
      <c r="H111" s="107">
        <f t="shared" ref="H111:H115" si="119">+G111*0.16</f>
        <v>0</v>
      </c>
      <c r="I111" s="94">
        <v>0</v>
      </c>
      <c r="J111" s="94">
        <v>0</v>
      </c>
      <c r="K111" s="107">
        <f t="shared" ref="K111:K114" si="120">+(G111*2)/12</f>
        <v>0</v>
      </c>
      <c r="L111" s="107">
        <f t="shared" ref="L111:L115" si="121">+K111*0.16</f>
        <v>0</v>
      </c>
      <c r="M111" s="107">
        <f t="shared" ref="M111" si="122">H111+I111+J111+L111</f>
        <v>0</v>
      </c>
      <c r="N111" s="108">
        <f t="shared" ref="N111:N113" si="123">M111+G111+K111</f>
        <v>0</v>
      </c>
      <c r="O111" s="108">
        <f t="shared" ref="O111:O115" si="124">N111*12</f>
        <v>0</v>
      </c>
      <c r="Q111" s="109">
        <f t="shared" ref="Q111:Q125" si="125">N111*G132</f>
        <v>0</v>
      </c>
    </row>
    <row r="112" spans="2:20">
      <c r="B112" s="104" t="s">
        <v>106</v>
      </c>
      <c r="C112" s="110"/>
      <c r="D112" s="110" t="s">
        <v>108</v>
      </c>
      <c r="E112" s="110" t="s">
        <v>109</v>
      </c>
      <c r="F112" s="110"/>
      <c r="G112" s="106">
        <v>350000</v>
      </c>
      <c r="H112" s="107">
        <f t="shared" si="119"/>
        <v>56000</v>
      </c>
      <c r="I112" s="94">
        <v>10000</v>
      </c>
      <c r="J112" s="94">
        <v>0</v>
      </c>
      <c r="K112" s="107">
        <f t="shared" si="120"/>
        <v>58333.333333333336</v>
      </c>
      <c r="L112" s="107">
        <f t="shared" si="121"/>
        <v>9333.3333333333339</v>
      </c>
      <c r="M112" s="107">
        <f>H112+I112+K112+L112</f>
        <v>133666.66666666669</v>
      </c>
      <c r="N112" s="108">
        <f>M112+G112</f>
        <v>483666.66666666669</v>
      </c>
      <c r="O112" s="108">
        <f t="shared" si="124"/>
        <v>5804000</v>
      </c>
      <c r="Q112" s="109">
        <f t="shared" si="125"/>
        <v>483666.66666666669</v>
      </c>
    </row>
    <row r="113" spans="2:17">
      <c r="B113" s="104" t="s">
        <v>106</v>
      </c>
      <c r="C113" s="110"/>
      <c r="D113" s="110" t="s">
        <v>110</v>
      </c>
      <c r="E113" s="110" t="s">
        <v>111</v>
      </c>
      <c r="F113" s="110"/>
      <c r="G113" s="106">
        <v>250000</v>
      </c>
      <c r="H113" s="107">
        <f t="shared" si="119"/>
        <v>40000</v>
      </c>
      <c r="I113" s="94">
        <v>0</v>
      </c>
      <c r="J113" s="94">
        <v>0</v>
      </c>
      <c r="K113" s="107">
        <f t="shared" si="120"/>
        <v>41666.666666666664</v>
      </c>
      <c r="L113" s="107">
        <f t="shared" si="121"/>
        <v>6666.6666666666661</v>
      </c>
      <c r="M113" s="107"/>
      <c r="N113" s="108">
        <f t="shared" si="123"/>
        <v>291666.66666666669</v>
      </c>
      <c r="O113" s="108">
        <f t="shared" si="124"/>
        <v>3500000</v>
      </c>
      <c r="Q113" s="109">
        <f t="shared" si="125"/>
        <v>291666.66666666669</v>
      </c>
    </row>
    <row r="114" spans="2:17">
      <c r="B114" s="104" t="s">
        <v>106</v>
      </c>
      <c r="C114" s="110"/>
      <c r="D114" s="110" t="s">
        <v>112</v>
      </c>
      <c r="E114" s="110" t="s">
        <v>113</v>
      </c>
      <c r="F114" s="110"/>
      <c r="G114" s="106">
        <v>220000</v>
      </c>
      <c r="H114" s="107">
        <f t="shared" si="119"/>
        <v>35200</v>
      </c>
      <c r="I114" s="94">
        <v>10000</v>
      </c>
      <c r="J114" s="94">
        <v>0</v>
      </c>
      <c r="K114" s="107">
        <f t="shared" si="120"/>
        <v>36666.666666666664</v>
      </c>
      <c r="L114" s="107">
        <f t="shared" si="121"/>
        <v>5866.6666666666661</v>
      </c>
      <c r="M114" s="107">
        <f>H114+I114+K114+L114</f>
        <v>87733.333333333328</v>
      </c>
      <c r="N114" s="108">
        <f>M114+G114</f>
        <v>307733.33333333331</v>
      </c>
      <c r="O114" s="108">
        <f t="shared" si="124"/>
        <v>3692800</v>
      </c>
      <c r="Q114" s="109">
        <f t="shared" si="125"/>
        <v>923200</v>
      </c>
    </row>
    <row r="115" spans="2:17">
      <c r="B115" s="104" t="s">
        <v>106</v>
      </c>
      <c r="C115" s="110"/>
      <c r="D115" s="110" t="s">
        <v>112</v>
      </c>
      <c r="E115" s="110" t="s">
        <v>114</v>
      </c>
      <c r="F115" s="110"/>
      <c r="G115" s="106">
        <v>231000</v>
      </c>
      <c r="H115" s="107">
        <f t="shared" si="119"/>
        <v>36960</v>
      </c>
      <c r="I115" s="94">
        <f t="shared" ref="I115" si="126">I114</f>
        <v>10000</v>
      </c>
      <c r="J115" s="94">
        <v>0</v>
      </c>
      <c r="K115" s="107">
        <f>+(G115*0)/12</f>
        <v>0</v>
      </c>
      <c r="L115" s="107">
        <f t="shared" si="121"/>
        <v>0</v>
      </c>
      <c r="M115" s="107">
        <f>H115+I115+K115+L115</f>
        <v>46960</v>
      </c>
      <c r="N115" s="108">
        <f>M115+G115</f>
        <v>277960</v>
      </c>
      <c r="O115" s="108">
        <f t="shared" si="124"/>
        <v>3335520</v>
      </c>
      <c r="Q115" s="109">
        <f t="shared" si="125"/>
        <v>2223680</v>
      </c>
    </row>
    <row r="116" spans="2:17">
      <c r="B116" s="104"/>
      <c r="C116" s="110"/>
      <c r="D116" s="110"/>
      <c r="E116" s="110"/>
      <c r="F116" s="110"/>
      <c r="G116" s="106"/>
      <c r="H116" s="107"/>
      <c r="I116" s="94"/>
      <c r="J116" s="94"/>
      <c r="K116" s="107"/>
      <c r="L116" s="107"/>
      <c r="M116" s="107"/>
      <c r="N116" s="108"/>
      <c r="O116" s="108"/>
      <c r="Q116" s="109"/>
    </row>
    <row r="117" spans="2:17">
      <c r="B117" s="112"/>
      <c r="C117" s="110"/>
      <c r="D117" s="105"/>
      <c r="E117" s="110"/>
      <c r="F117" s="110"/>
      <c r="G117" s="106"/>
      <c r="H117" s="107"/>
      <c r="I117" s="94"/>
      <c r="J117" s="94"/>
      <c r="K117" s="107"/>
      <c r="L117" s="107"/>
      <c r="M117" s="107"/>
      <c r="N117" s="108"/>
      <c r="O117" s="108"/>
      <c r="Q117" s="109">
        <f>N117*G137</f>
        <v>0</v>
      </c>
    </row>
    <row r="118" spans="2:17">
      <c r="B118" s="112"/>
      <c r="C118" s="110"/>
      <c r="D118" s="110"/>
      <c r="E118" s="110"/>
      <c r="F118" s="110"/>
      <c r="G118" s="106"/>
      <c r="H118" s="107"/>
      <c r="I118" s="94"/>
      <c r="J118" s="94"/>
      <c r="K118" s="107"/>
      <c r="L118" s="107"/>
      <c r="M118" s="107"/>
      <c r="N118" s="108"/>
      <c r="O118" s="108"/>
      <c r="Q118" s="109">
        <f t="shared" si="125"/>
        <v>0</v>
      </c>
    </row>
    <row r="119" spans="2:17">
      <c r="B119" s="112"/>
      <c r="C119" s="110"/>
      <c r="D119" s="110"/>
      <c r="E119" s="110"/>
      <c r="F119" s="110"/>
      <c r="G119" s="106"/>
      <c r="H119" s="107"/>
      <c r="I119" s="94"/>
      <c r="J119" s="94"/>
      <c r="K119" s="107"/>
      <c r="L119" s="107"/>
      <c r="M119" s="107"/>
      <c r="N119" s="108"/>
      <c r="O119" s="108"/>
      <c r="Q119" s="109">
        <f t="shared" si="125"/>
        <v>0</v>
      </c>
    </row>
    <row r="120" spans="2:17">
      <c r="B120" s="112"/>
      <c r="C120" s="110"/>
      <c r="D120" s="110"/>
      <c r="E120" s="110"/>
      <c r="F120" s="110"/>
      <c r="G120" s="106"/>
      <c r="H120" s="107"/>
      <c r="I120" s="94"/>
      <c r="J120" s="94"/>
      <c r="K120" s="107"/>
      <c r="L120" s="107"/>
      <c r="M120" s="107"/>
      <c r="N120" s="108"/>
      <c r="O120" s="108"/>
      <c r="Q120" s="109">
        <f t="shared" si="125"/>
        <v>0</v>
      </c>
    </row>
    <row r="121" spans="2:17">
      <c r="B121" s="112"/>
      <c r="C121" s="110"/>
      <c r="D121" s="105"/>
      <c r="E121" s="110"/>
      <c r="F121" s="110"/>
      <c r="G121" s="106"/>
      <c r="H121" s="107"/>
      <c r="I121" s="94"/>
      <c r="J121" s="94"/>
      <c r="K121" s="107"/>
      <c r="L121" s="107"/>
      <c r="M121" s="107"/>
      <c r="N121" s="108"/>
      <c r="O121" s="108"/>
      <c r="Q121" s="109">
        <f t="shared" si="125"/>
        <v>0</v>
      </c>
    </row>
    <row r="122" spans="2:17">
      <c r="B122" s="112"/>
      <c r="C122" s="110"/>
      <c r="D122" s="110"/>
      <c r="E122" s="110"/>
      <c r="F122" s="110"/>
      <c r="G122" s="106"/>
      <c r="H122" s="107"/>
      <c r="I122" s="94"/>
      <c r="J122" s="94"/>
      <c r="K122" s="107"/>
      <c r="L122" s="107"/>
      <c r="M122" s="107"/>
      <c r="N122" s="108"/>
      <c r="O122" s="108"/>
      <c r="Q122" s="109">
        <f t="shared" si="125"/>
        <v>0</v>
      </c>
    </row>
    <row r="123" spans="2:17">
      <c r="B123" s="112"/>
      <c r="C123" s="110"/>
      <c r="D123" s="110"/>
      <c r="E123" s="110"/>
      <c r="F123" s="110"/>
      <c r="G123" s="106"/>
      <c r="H123" s="107"/>
      <c r="I123" s="94"/>
      <c r="J123" s="94"/>
      <c r="K123" s="107"/>
      <c r="L123" s="107"/>
      <c r="M123" s="107"/>
      <c r="N123" s="108"/>
      <c r="O123" s="108"/>
      <c r="Q123" s="109">
        <f t="shared" si="125"/>
        <v>0</v>
      </c>
    </row>
    <row r="124" spans="2:17">
      <c r="B124" s="112"/>
      <c r="C124" s="110"/>
      <c r="D124" s="110"/>
      <c r="E124" s="110"/>
      <c r="F124" s="110"/>
      <c r="G124" s="106"/>
      <c r="H124" s="107"/>
      <c r="I124" s="94"/>
      <c r="J124" s="94"/>
      <c r="K124" s="107"/>
      <c r="L124" s="107"/>
      <c r="M124" s="107"/>
      <c r="N124" s="108"/>
      <c r="O124" s="108"/>
      <c r="Q124" s="109">
        <f t="shared" si="125"/>
        <v>0</v>
      </c>
    </row>
    <row r="125" spans="2:17">
      <c r="B125" s="112"/>
      <c r="C125" s="110"/>
      <c r="D125" s="110"/>
      <c r="E125" s="110"/>
      <c r="F125" s="110"/>
      <c r="G125" s="106"/>
      <c r="H125" s="107"/>
      <c r="I125" s="94"/>
      <c r="J125" s="94"/>
      <c r="K125" s="107"/>
      <c r="L125" s="107"/>
      <c r="M125" s="107"/>
      <c r="N125" s="108"/>
      <c r="O125" s="108"/>
      <c r="Q125" s="109">
        <f t="shared" si="125"/>
        <v>0</v>
      </c>
    </row>
    <row r="126" spans="2:17">
      <c r="B126" s="112"/>
      <c r="C126" s="110"/>
      <c r="D126" s="110"/>
      <c r="E126" s="110"/>
      <c r="F126" s="110"/>
      <c r="G126" s="604"/>
      <c r="H126" s="140"/>
      <c r="I126" s="475"/>
      <c r="J126" s="475"/>
      <c r="N126" s="71"/>
      <c r="O126" s="71"/>
      <c r="Q126" s="113"/>
    </row>
    <row r="127" spans="2:17" ht="12" customHeight="1">
      <c r="B127" s="605" t="s">
        <v>35</v>
      </c>
      <c r="C127" s="116"/>
      <c r="D127" s="116"/>
      <c r="E127" s="116"/>
      <c r="F127" s="116"/>
      <c r="G127" s="117"/>
      <c r="H127" s="118"/>
      <c r="I127" s="118"/>
      <c r="J127" s="118"/>
      <c r="K127" s="118"/>
      <c r="L127" s="118"/>
      <c r="M127" s="118"/>
      <c r="N127" s="119"/>
      <c r="O127" s="119"/>
      <c r="Q127" s="121">
        <f>+SUM(Q110:Q125)</f>
        <v>4608880</v>
      </c>
    </row>
    <row r="128" spans="2:17" ht="12" customHeight="1"/>
    <row r="129" spans="2:21" ht="12" customHeight="1"/>
    <row r="130" spans="2:21" ht="12" customHeight="1">
      <c r="B130" s="58" t="s">
        <v>118</v>
      </c>
      <c r="G130" s="84" t="s">
        <v>30</v>
      </c>
      <c r="H130" s="84" t="s">
        <v>31</v>
      </c>
      <c r="I130" s="84" t="s">
        <v>32</v>
      </c>
      <c r="J130" s="84" t="s">
        <v>33</v>
      </c>
      <c r="K130" s="84" t="s">
        <v>34</v>
      </c>
      <c r="M130" s="58" t="s">
        <v>119</v>
      </c>
      <c r="N130" s="84" t="s">
        <v>30</v>
      </c>
      <c r="O130" s="84" t="s">
        <v>31</v>
      </c>
      <c r="P130" s="84" t="s">
        <v>32</v>
      </c>
      <c r="Q130" s="84" t="s">
        <v>33</v>
      </c>
      <c r="R130" s="84" t="s">
        <v>34</v>
      </c>
      <c r="U130" s="606"/>
    </row>
    <row r="131" spans="2:21" ht="12" customHeight="1">
      <c r="B131" s="125" t="s">
        <v>103</v>
      </c>
      <c r="C131" s="98"/>
      <c r="D131" s="98" t="s">
        <v>104</v>
      </c>
      <c r="E131" s="98" t="s">
        <v>105</v>
      </c>
      <c r="F131" s="98"/>
      <c r="G131" s="122">
        <v>1</v>
      </c>
      <c r="H131" s="123">
        <f>G131</f>
        <v>1</v>
      </c>
      <c r="I131" s="123">
        <f t="shared" ref="I131:K131" si="127">H131</f>
        <v>1</v>
      </c>
      <c r="J131" s="123">
        <f t="shared" si="127"/>
        <v>1</v>
      </c>
      <c r="K131" s="124">
        <f t="shared" si="127"/>
        <v>1</v>
      </c>
      <c r="L131" s="83"/>
      <c r="M131" s="125" t="s">
        <v>120</v>
      </c>
      <c r="N131" s="126">
        <f>N133-N132</f>
        <v>6</v>
      </c>
      <c r="O131" s="126">
        <f>O133-O132</f>
        <v>6</v>
      </c>
      <c r="P131" s="126">
        <f>P133-P132</f>
        <v>6</v>
      </c>
      <c r="Q131" s="126">
        <f>Q133-Q132</f>
        <v>6</v>
      </c>
      <c r="R131" s="127">
        <f>R133-R132</f>
        <v>6</v>
      </c>
      <c r="U131" s="606"/>
    </row>
    <row r="132" spans="2:21" ht="12" customHeight="1">
      <c r="B132" s="104" t="s">
        <v>106</v>
      </c>
      <c r="C132" s="105"/>
      <c r="D132" s="105" t="s">
        <v>107</v>
      </c>
      <c r="E132" s="105" t="s">
        <v>105</v>
      </c>
      <c r="F132" s="105"/>
      <c r="G132" s="128">
        <v>0</v>
      </c>
      <c r="H132" s="129">
        <f>G132</f>
        <v>0</v>
      </c>
      <c r="I132" s="129">
        <f t="shared" ref="I132:K132" si="128">H132</f>
        <v>0</v>
      </c>
      <c r="J132" s="129">
        <f t="shared" si="128"/>
        <v>0</v>
      </c>
      <c r="K132" s="130">
        <f t="shared" si="128"/>
        <v>0</v>
      </c>
      <c r="L132" s="83"/>
      <c r="M132" s="104" t="s">
        <v>121</v>
      </c>
      <c r="N132" s="131">
        <f>G136+G141+G146</f>
        <v>8</v>
      </c>
      <c r="O132" s="131">
        <f>H136+H141+H146</f>
        <v>8</v>
      </c>
      <c r="P132" s="131">
        <f>I136+I141+I146</f>
        <v>8</v>
      </c>
      <c r="Q132" s="131">
        <f>J136+J141+J146</f>
        <v>8</v>
      </c>
      <c r="R132" s="132">
        <f>K136+K141+K146</f>
        <v>8</v>
      </c>
      <c r="U132" s="606"/>
    </row>
    <row r="133" spans="2:21" ht="12" customHeight="1">
      <c r="B133" s="104" t="s">
        <v>106</v>
      </c>
      <c r="C133" s="110"/>
      <c r="D133" s="110" t="s">
        <v>108</v>
      </c>
      <c r="E133" s="110" t="s">
        <v>109</v>
      </c>
      <c r="F133" s="105"/>
      <c r="G133" s="128">
        <v>1</v>
      </c>
      <c r="H133" s="129">
        <f t="shared" ref="H133:H146" si="129">G133</f>
        <v>1</v>
      </c>
      <c r="I133" s="129">
        <f t="shared" ref="I133:K133" si="130">H133</f>
        <v>1</v>
      </c>
      <c r="J133" s="129">
        <f t="shared" si="130"/>
        <v>1</v>
      </c>
      <c r="K133" s="130">
        <f t="shared" si="130"/>
        <v>1</v>
      </c>
      <c r="L133" s="83"/>
      <c r="M133" s="133" t="s">
        <v>35</v>
      </c>
      <c r="N133" s="134">
        <f>G148</f>
        <v>14</v>
      </c>
      <c r="O133" s="134">
        <f>H148</f>
        <v>14</v>
      </c>
      <c r="P133" s="134">
        <f>I148</f>
        <v>14</v>
      </c>
      <c r="Q133" s="134">
        <f>J148</f>
        <v>14</v>
      </c>
      <c r="R133" s="135">
        <f>K148</f>
        <v>14</v>
      </c>
      <c r="U133" s="606"/>
    </row>
    <row r="134" spans="2:21" ht="12" customHeight="1">
      <c r="B134" s="104" t="s">
        <v>106</v>
      </c>
      <c r="C134" s="110"/>
      <c r="D134" s="110" t="s">
        <v>110</v>
      </c>
      <c r="E134" s="110" t="s">
        <v>111</v>
      </c>
      <c r="F134" s="105"/>
      <c r="G134" s="128">
        <v>1</v>
      </c>
      <c r="H134" s="129">
        <f t="shared" si="129"/>
        <v>1</v>
      </c>
      <c r="I134" s="129">
        <f t="shared" ref="I134:K134" si="131">H134</f>
        <v>1</v>
      </c>
      <c r="J134" s="129">
        <f t="shared" si="131"/>
        <v>1</v>
      </c>
      <c r="K134" s="130">
        <f t="shared" si="131"/>
        <v>1</v>
      </c>
      <c r="L134" s="83"/>
      <c r="U134" s="606"/>
    </row>
    <row r="135" spans="2:21" ht="12" customHeight="1">
      <c r="B135" s="104" t="s">
        <v>106</v>
      </c>
      <c r="C135" s="110"/>
      <c r="D135" s="110" t="s">
        <v>112</v>
      </c>
      <c r="E135" s="110" t="s">
        <v>113</v>
      </c>
      <c r="F135" s="105"/>
      <c r="G135" s="128">
        <v>3</v>
      </c>
      <c r="H135" s="129">
        <f t="shared" si="129"/>
        <v>3</v>
      </c>
      <c r="I135" s="129">
        <f t="shared" ref="I135:K135" si="132">H135</f>
        <v>3</v>
      </c>
      <c r="J135" s="129">
        <f t="shared" si="132"/>
        <v>3</v>
      </c>
      <c r="K135" s="130">
        <f t="shared" si="132"/>
        <v>3</v>
      </c>
      <c r="L135" s="83"/>
      <c r="U135" s="606"/>
    </row>
    <row r="136" spans="2:21" ht="12" customHeight="1">
      <c r="B136" s="104" t="s">
        <v>106</v>
      </c>
      <c r="C136" s="110"/>
      <c r="D136" s="110" t="s">
        <v>112</v>
      </c>
      <c r="E136" s="110" t="s">
        <v>114</v>
      </c>
      <c r="F136" s="105"/>
      <c r="G136" s="128">
        <v>8</v>
      </c>
      <c r="H136" s="129">
        <f t="shared" si="129"/>
        <v>8</v>
      </c>
      <c r="I136" s="129">
        <f t="shared" ref="I136:K136" si="133">H136</f>
        <v>8</v>
      </c>
      <c r="J136" s="129">
        <f t="shared" si="133"/>
        <v>8</v>
      </c>
      <c r="K136" s="130">
        <f t="shared" si="133"/>
        <v>8</v>
      </c>
      <c r="L136" s="83"/>
      <c r="U136" s="606"/>
    </row>
    <row r="137" spans="2:21" ht="12" customHeight="1">
      <c r="B137" s="112"/>
      <c r="C137" s="110"/>
      <c r="D137" s="105"/>
      <c r="E137" s="110"/>
      <c r="F137" s="105"/>
      <c r="G137" s="128"/>
      <c r="H137" s="129"/>
      <c r="I137" s="129"/>
      <c r="J137" s="129"/>
      <c r="K137" s="130"/>
      <c r="L137" s="83"/>
      <c r="U137" s="606"/>
    </row>
    <row r="138" spans="2:21" ht="12" customHeight="1">
      <c r="B138" s="112"/>
      <c r="C138" s="110"/>
      <c r="D138" s="110"/>
      <c r="E138" s="110"/>
      <c r="F138" s="105"/>
      <c r="G138" s="128">
        <v>0</v>
      </c>
      <c r="H138" s="129">
        <f t="shared" si="129"/>
        <v>0</v>
      </c>
      <c r="I138" s="129">
        <f t="shared" ref="I138:K138" si="134">H138</f>
        <v>0</v>
      </c>
      <c r="J138" s="129">
        <f t="shared" si="134"/>
        <v>0</v>
      </c>
      <c r="K138" s="130">
        <f t="shared" si="134"/>
        <v>0</v>
      </c>
      <c r="L138" s="83"/>
      <c r="U138" s="606"/>
    </row>
    <row r="139" spans="2:21" ht="12" customHeight="1">
      <c r="B139" s="112"/>
      <c r="C139" s="110"/>
      <c r="D139" s="110"/>
      <c r="E139" s="110"/>
      <c r="F139" s="105"/>
      <c r="G139" s="128">
        <v>0</v>
      </c>
      <c r="H139" s="129">
        <f t="shared" si="129"/>
        <v>0</v>
      </c>
      <c r="I139" s="129">
        <f t="shared" ref="I139:K139" si="135">H139</f>
        <v>0</v>
      </c>
      <c r="J139" s="129">
        <f t="shared" si="135"/>
        <v>0</v>
      </c>
      <c r="K139" s="130">
        <f t="shared" si="135"/>
        <v>0</v>
      </c>
      <c r="L139" s="83"/>
      <c r="U139" s="606"/>
    </row>
    <row r="140" spans="2:21" ht="12" customHeight="1">
      <c r="B140" s="112"/>
      <c r="C140" s="110"/>
      <c r="D140" s="110"/>
      <c r="E140" s="110"/>
      <c r="F140" s="105"/>
      <c r="G140" s="128">
        <v>0</v>
      </c>
      <c r="H140" s="129">
        <f t="shared" si="129"/>
        <v>0</v>
      </c>
      <c r="I140" s="129">
        <f t="shared" ref="I140:K140" si="136">H140</f>
        <v>0</v>
      </c>
      <c r="J140" s="129">
        <f t="shared" si="136"/>
        <v>0</v>
      </c>
      <c r="K140" s="130">
        <f t="shared" si="136"/>
        <v>0</v>
      </c>
      <c r="L140" s="83"/>
      <c r="U140" s="606"/>
    </row>
    <row r="141" spans="2:21" ht="12" customHeight="1">
      <c r="B141" s="112"/>
      <c r="C141" s="110"/>
      <c r="D141" s="110"/>
      <c r="E141" s="110"/>
      <c r="F141" s="105"/>
      <c r="G141" s="128">
        <v>0</v>
      </c>
      <c r="H141" s="129">
        <f t="shared" si="129"/>
        <v>0</v>
      </c>
      <c r="I141" s="129">
        <f t="shared" ref="I141:K141" si="137">H141</f>
        <v>0</v>
      </c>
      <c r="J141" s="129">
        <f t="shared" si="137"/>
        <v>0</v>
      </c>
      <c r="K141" s="130">
        <f t="shared" si="137"/>
        <v>0</v>
      </c>
      <c r="L141" s="83"/>
      <c r="U141" s="606"/>
    </row>
    <row r="142" spans="2:21" ht="12" customHeight="1">
      <c r="B142" s="112"/>
      <c r="C142" s="110"/>
      <c r="D142" s="105"/>
      <c r="E142" s="110"/>
      <c r="F142" s="105"/>
      <c r="G142" s="128">
        <v>0</v>
      </c>
      <c r="H142" s="129">
        <f t="shared" si="129"/>
        <v>0</v>
      </c>
      <c r="I142" s="129">
        <f t="shared" ref="I142:K142" si="138">H142</f>
        <v>0</v>
      </c>
      <c r="J142" s="129">
        <f t="shared" si="138"/>
        <v>0</v>
      </c>
      <c r="K142" s="130">
        <f t="shared" si="138"/>
        <v>0</v>
      </c>
      <c r="L142" s="83"/>
      <c r="U142" s="606"/>
    </row>
    <row r="143" spans="2:21" ht="12" customHeight="1">
      <c r="B143" s="112"/>
      <c r="C143" s="110"/>
      <c r="D143" s="110"/>
      <c r="E143" s="110"/>
      <c r="F143" s="105"/>
      <c r="G143" s="128">
        <v>0</v>
      </c>
      <c r="H143" s="129">
        <f t="shared" si="129"/>
        <v>0</v>
      </c>
      <c r="I143" s="129">
        <f t="shared" ref="I143:K143" si="139">H143</f>
        <v>0</v>
      </c>
      <c r="J143" s="129">
        <f t="shared" si="139"/>
        <v>0</v>
      </c>
      <c r="K143" s="130">
        <f t="shared" si="139"/>
        <v>0</v>
      </c>
      <c r="L143" s="83"/>
      <c r="U143" s="606"/>
    </row>
    <row r="144" spans="2:21" ht="12" customHeight="1">
      <c r="B144" s="112"/>
      <c r="C144" s="110"/>
      <c r="D144" s="110"/>
      <c r="E144" s="110"/>
      <c r="F144" s="105"/>
      <c r="G144" s="128">
        <v>0</v>
      </c>
      <c r="H144" s="129">
        <f t="shared" si="129"/>
        <v>0</v>
      </c>
      <c r="I144" s="129">
        <f t="shared" ref="I144:K144" si="140">H144</f>
        <v>0</v>
      </c>
      <c r="J144" s="129">
        <f t="shared" si="140"/>
        <v>0</v>
      </c>
      <c r="K144" s="130">
        <f t="shared" si="140"/>
        <v>0</v>
      </c>
      <c r="L144" s="83"/>
      <c r="U144" s="606"/>
    </row>
    <row r="145" spans="1:21" ht="12" customHeight="1">
      <c r="B145" s="112"/>
      <c r="C145" s="110"/>
      <c r="D145" s="110"/>
      <c r="E145" s="110"/>
      <c r="F145" s="105"/>
      <c r="G145" s="128">
        <v>0</v>
      </c>
      <c r="H145" s="129">
        <f t="shared" si="129"/>
        <v>0</v>
      </c>
      <c r="I145" s="129">
        <f t="shared" ref="I145:K145" si="141">H145</f>
        <v>0</v>
      </c>
      <c r="J145" s="129">
        <f t="shared" si="141"/>
        <v>0</v>
      </c>
      <c r="K145" s="130">
        <f t="shared" si="141"/>
        <v>0</v>
      </c>
      <c r="L145" s="83"/>
      <c r="U145" s="606"/>
    </row>
    <row r="146" spans="1:21" ht="12" customHeight="1">
      <c r="B146" s="112"/>
      <c r="C146" s="110"/>
      <c r="D146" s="110"/>
      <c r="E146" s="110"/>
      <c r="F146" s="105"/>
      <c r="G146" s="128">
        <v>0</v>
      </c>
      <c r="H146" s="129">
        <f t="shared" si="129"/>
        <v>0</v>
      </c>
      <c r="I146" s="129">
        <f t="shared" ref="I146:K146" si="142">H146</f>
        <v>0</v>
      </c>
      <c r="J146" s="129">
        <f t="shared" si="142"/>
        <v>0</v>
      </c>
      <c r="K146" s="130">
        <f t="shared" si="142"/>
        <v>0</v>
      </c>
      <c r="L146" s="83"/>
      <c r="U146" s="606"/>
    </row>
    <row r="147" spans="1:21" ht="12" customHeight="1">
      <c r="B147" s="104"/>
      <c r="C147" s="105"/>
      <c r="D147" s="105"/>
      <c r="E147" s="105"/>
      <c r="F147" s="105"/>
      <c r="G147" s="128"/>
      <c r="H147" s="129"/>
      <c r="I147" s="129"/>
      <c r="J147" s="129"/>
      <c r="K147" s="130"/>
      <c r="L147" s="83"/>
      <c r="U147" s="606"/>
    </row>
    <row r="148" spans="1:21" ht="12" customHeight="1">
      <c r="B148" s="605" t="s">
        <v>35</v>
      </c>
      <c r="C148" s="607"/>
      <c r="D148" s="607"/>
      <c r="E148" s="607"/>
      <c r="F148" s="607"/>
      <c r="G148" s="417">
        <f>SUM(G131:G147)</f>
        <v>14</v>
      </c>
      <c r="H148" s="413">
        <f t="shared" ref="H148:K148" si="143">SUM(H131:H147)</f>
        <v>14</v>
      </c>
      <c r="I148" s="413">
        <f t="shared" si="143"/>
        <v>14</v>
      </c>
      <c r="J148" s="413">
        <f t="shared" si="143"/>
        <v>14</v>
      </c>
      <c r="K148" s="82">
        <f t="shared" si="143"/>
        <v>14</v>
      </c>
      <c r="L148" s="83"/>
      <c r="U148" s="606"/>
    </row>
    <row r="149" spans="1:21" ht="12" customHeight="1">
      <c r="U149" s="606"/>
    </row>
    <row r="150" spans="1:21" ht="12" customHeight="1">
      <c r="U150" s="606"/>
    </row>
    <row r="151" spans="1:21" ht="12" customHeight="1">
      <c r="A151" s="58"/>
      <c r="B151" s="58" t="s">
        <v>122</v>
      </c>
      <c r="G151" s="84" t="s">
        <v>30</v>
      </c>
      <c r="H151" s="84" t="s">
        <v>31</v>
      </c>
      <c r="I151" s="84" t="s">
        <v>32</v>
      </c>
      <c r="J151" s="84" t="s">
        <v>33</v>
      </c>
      <c r="K151" s="84" t="s">
        <v>34</v>
      </c>
      <c r="U151" s="606"/>
    </row>
    <row r="152" spans="1:21" ht="12" customHeight="1">
      <c r="B152" s="125" t="s">
        <v>103</v>
      </c>
      <c r="C152" s="98"/>
      <c r="D152" s="98" t="s">
        <v>104</v>
      </c>
      <c r="E152" s="98" t="s">
        <v>105</v>
      </c>
      <c r="F152" s="98"/>
      <c r="G152" s="143">
        <f>$O110*G131</f>
        <v>8240000</v>
      </c>
      <c r="H152" s="100">
        <f t="shared" ref="H152:K152" si="144">$O110*H131</f>
        <v>8240000</v>
      </c>
      <c r="I152" s="100">
        <f t="shared" si="144"/>
        <v>8240000</v>
      </c>
      <c r="J152" s="100">
        <f t="shared" si="144"/>
        <v>8240000</v>
      </c>
      <c r="K152" s="102">
        <f t="shared" si="144"/>
        <v>8240000</v>
      </c>
      <c r="L152" s="83"/>
      <c r="M152" s="136"/>
      <c r="N152" s="131"/>
      <c r="U152" s="606"/>
    </row>
    <row r="153" spans="1:21" ht="12" customHeight="1">
      <c r="B153" s="104" t="s">
        <v>106</v>
      </c>
      <c r="C153" s="105"/>
      <c r="D153" s="105" t="s">
        <v>107</v>
      </c>
      <c r="E153" s="105" t="s">
        <v>105</v>
      </c>
      <c r="F153" s="105"/>
      <c r="G153" s="144">
        <f t="shared" ref="G153:K167" si="145">$O111*G132</f>
        <v>0</v>
      </c>
      <c r="H153" s="107">
        <f t="shared" si="145"/>
        <v>0</v>
      </c>
      <c r="I153" s="107">
        <f t="shared" si="145"/>
        <v>0</v>
      </c>
      <c r="J153" s="107">
        <f t="shared" si="145"/>
        <v>0</v>
      </c>
      <c r="K153" s="108">
        <f t="shared" si="145"/>
        <v>0</v>
      </c>
      <c r="L153" s="83"/>
      <c r="M153" s="136"/>
      <c r="N153" s="131"/>
      <c r="U153" s="606"/>
    </row>
    <row r="154" spans="1:21" ht="12" customHeight="1">
      <c r="B154" s="104" t="s">
        <v>106</v>
      </c>
      <c r="C154" s="110"/>
      <c r="D154" s="110" t="s">
        <v>108</v>
      </c>
      <c r="E154" s="110" t="s">
        <v>109</v>
      </c>
      <c r="F154" s="105"/>
      <c r="G154" s="144">
        <f t="shared" si="145"/>
        <v>5804000</v>
      </c>
      <c r="H154" s="415">
        <f>$O112*H133</f>
        <v>5804000</v>
      </c>
      <c r="I154" s="415">
        <f t="shared" si="145"/>
        <v>5804000</v>
      </c>
      <c r="J154" s="415">
        <f t="shared" si="145"/>
        <v>5804000</v>
      </c>
      <c r="K154" s="416">
        <f t="shared" si="145"/>
        <v>5804000</v>
      </c>
      <c r="L154" s="83"/>
      <c r="M154" s="136"/>
      <c r="N154" s="131"/>
      <c r="U154" s="606"/>
    </row>
    <row r="155" spans="1:21" ht="12" customHeight="1">
      <c r="B155" s="104" t="s">
        <v>106</v>
      </c>
      <c r="C155" s="110"/>
      <c r="D155" s="110" t="s">
        <v>110</v>
      </c>
      <c r="E155" s="110" t="s">
        <v>111</v>
      </c>
      <c r="F155" s="105"/>
      <c r="G155" s="144">
        <f t="shared" si="145"/>
        <v>3500000</v>
      </c>
      <c r="H155" s="415">
        <f t="shared" si="145"/>
        <v>3500000</v>
      </c>
      <c r="I155" s="415">
        <f t="shared" si="145"/>
        <v>3500000</v>
      </c>
      <c r="J155" s="415">
        <f t="shared" si="145"/>
        <v>3500000</v>
      </c>
      <c r="K155" s="416">
        <f t="shared" si="145"/>
        <v>3500000</v>
      </c>
      <c r="L155" s="83"/>
      <c r="M155" s="136"/>
      <c r="N155" s="131"/>
      <c r="U155" s="606"/>
    </row>
    <row r="156" spans="1:21" ht="12" customHeight="1">
      <c r="B156" s="104" t="s">
        <v>106</v>
      </c>
      <c r="C156" s="110"/>
      <c r="D156" s="110" t="s">
        <v>112</v>
      </c>
      <c r="E156" s="110" t="s">
        <v>113</v>
      </c>
      <c r="F156" s="105"/>
      <c r="G156" s="144">
        <f t="shared" si="145"/>
        <v>11078400</v>
      </c>
      <c r="H156" s="415">
        <f t="shared" si="145"/>
        <v>11078400</v>
      </c>
      <c r="I156" s="415">
        <f t="shared" si="145"/>
        <v>11078400</v>
      </c>
      <c r="J156" s="415">
        <f t="shared" si="145"/>
        <v>11078400</v>
      </c>
      <c r="K156" s="416">
        <f t="shared" si="145"/>
        <v>11078400</v>
      </c>
      <c r="L156" s="83"/>
      <c r="M156" s="136"/>
      <c r="N156" s="131"/>
      <c r="U156" s="606"/>
    </row>
    <row r="157" spans="1:21" ht="12" customHeight="1">
      <c r="B157" s="104" t="s">
        <v>106</v>
      </c>
      <c r="C157" s="110"/>
      <c r="D157" s="110" t="s">
        <v>112</v>
      </c>
      <c r="E157" s="110" t="s">
        <v>114</v>
      </c>
      <c r="F157" s="105"/>
      <c r="G157" s="144">
        <f t="shared" si="145"/>
        <v>26684160</v>
      </c>
      <c r="H157" s="415">
        <f t="shared" si="145"/>
        <v>26684160</v>
      </c>
      <c r="I157" s="415">
        <f t="shared" si="145"/>
        <v>26684160</v>
      </c>
      <c r="J157" s="415">
        <f t="shared" si="145"/>
        <v>26684160</v>
      </c>
      <c r="K157" s="416">
        <f t="shared" si="145"/>
        <v>26684160</v>
      </c>
      <c r="L157" s="83"/>
      <c r="M157" s="136"/>
      <c r="N157" s="131"/>
      <c r="U157" s="606"/>
    </row>
    <row r="158" spans="1:21" ht="12" customHeight="1">
      <c r="B158" s="112" t="s">
        <v>115</v>
      </c>
      <c r="C158" s="110"/>
      <c r="D158" s="105" t="s">
        <v>107</v>
      </c>
      <c r="E158" s="110" t="s">
        <v>116</v>
      </c>
      <c r="F158" s="105"/>
      <c r="G158" s="144">
        <f t="shared" si="145"/>
        <v>0</v>
      </c>
      <c r="H158" s="415">
        <f t="shared" si="145"/>
        <v>0</v>
      </c>
      <c r="I158" s="415">
        <f t="shared" si="145"/>
        <v>0</v>
      </c>
      <c r="J158" s="415">
        <f t="shared" si="145"/>
        <v>0</v>
      </c>
      <c r="K158" s="416">
        <f t="shared" si="145"/>
        <v>0</v>
      </c>
      <c r="L158" s="83"/>
      <c r="M158" s="136"/>
      <c r="N158" s="131"/>
      <c r="U158" s="606"/>
    </row>
    <row r="159" spans="1:21" ht="12" customHeight="1">
      <c r="B159" s="112" t="s">
        <v>115</v>
      </c>
      <c r="C159" s="110"/>
      <c r="D159" s="110" t="s">
        <v>108</v>
      </c>
      <c r="E159" s="110" t="s">
        <v>109</v>
      </c>
      <c r="F159" s="105"/>
      <c r="G159" s="144">
        <f t="shared" si="145"/>
        <v>0</v>
      </c>
      <c r="H159" s="415">
        <f t="shared" si="145"/>
        <v>0</v>
      </c>
      <c r="I159" s="415">
        <f t="shared" si="145"/>
        <v>0</v>
      </c>
      <c r="J159" s="415">
        <f t="shared" si="145"/>
        <v>0</v>
      </c>
      <c r="K159" s="416">
        <f t="shared" si="145"/>
        <v>0</v>
      </c>
      <c r="L159" s="83"/>
      <c r="M159" s="136"/>
      <c r="N159" s="131"/>
      <c r="U159" s="606"/>
    </row>
    <row r="160" spans="1:21" ht="12" customHeight="1">
      <c r="B160" s="112" t="s">
        <v>115</v>
      </c>
      <c r="C160" s="110"/>
      <c r="D160" s="110" t="s">
        <v>110</v>
      </c>
      <c r="E160" s="110" t="s">
        <v>111</v>
      </c>
      <c r="F160" s="105"/>
      <c r="G160" s="144">
        <f t="shared" si="145"/>
        <v>0</v>
      </c>
      <c r="H160" s="415">
        <f t="shared" si="145"/>
        <v>0</v>
      </c>
      <c r="I160" s="415">
        <f t="shared" si="145"/>
        <v>0</v>
      </c>
      <c r="J160" s="415">
        <f t="shared" si="145"/>
        <v>0</v>
      </c>
      <c r="K160" s="416">
        <f t="shared" si="145"/>
        <v>0</v>
      </c>
      <c r="L160" s="83"/>
      <c r="M160" s="136"/>
      <c r="N160" s="131"/>
      <c r="U160" s="606"/>
    </row>
    <row r="161" spans="2:21" ht="12" customHeight="1">
      <c r="B161" s="112" t="s">
        <v>115</v>
      </c>
      <c r="C161" s="110"/>
      <c r="D161" s="110" t="s">
        <v>110</v>
      </c>
      <c r="E161" s="110" t="s">
        <v>113</v>
      </c>
      <c r="F161" s="105"/>
      <c r="G161" s="144">
        <f t="shared" si="145"/>
        <v>0</v>
      </c>
      <c r="H161" s="415">
        <f t="shared" si="145"/>
        <v>0</v>
      </c>
      <c r="I161" s="415">
        <f t="shared" si="145"/>
        <v>0</v>
      </c>
      <c r="J161" s="415">
        <f t="shared" si="145"/>
        <v>0</v>
      </c>
      <c r="K161" s="416">
        <f t="shared" si="145"/>
        <v>0</v>
      </c>
      <c r="L161" s="83"/>
      <c r="M161" s="136"/>
      <c r="N161" s="131"/>
      <c r="U161" s="606"/>
    </row>
    <row r="162" spans="2:21" ht="12" customHeight="1">
      <c r="B162" s="112" t="s">
        <v>115</v>
      </c>
      <c r="C162" s="110"/>
      <c r="D162" s="110" t="s">
        <v>112</v>
      </c>
      <c r="E162" s="110" t="s">
        <v>114</v>
      </c>
      <c r="F162" s="105"/>
      <c r="G162" s="144">
        <f t="shared" si="145"/>
        <v>0</v>
      </c>
      <c r="H162" s="415">
        <f t="shared" si="145"/>
        <v>0</v>
      </c>
      <c r="I162" s="415">
        <f t="shared" si="145"/>
        <v>0</v>
      </c>
      <c r="J162" s="415">
        <f t="shared" si="145"/>
        <v>0</v>
      </c>
      <c r="K162" s="416">
        <f t="shared" si="145"/>
        <v>0</v>
      </c>
      <c r="L162" s="83"/>
      <c r="M162" s="136"/>
      <c r="N162" s="131"/>
      <c r="U162" s="606"/>
    </row>
    <row r="163" spans="2:21" ht="12" customHeight="1">
      <c r="B163" s="112" t="s">
        <v>117</v>
      </c>
      <c r="C163" s="110"/>
      <c r="D163" s="105" t="s">
        <v>107</v>
      </c>
      <c r="E163" s="110" t="s">
        <v>116</v>
      </c>
      <c r="F163" s="105"/>
      <c r="G163" s="144">
        <f t="shared" si="145"/>
        <v>0</v>
      </c>
      <c r="H163" s="415">
        <f t="shared" si="145"/>
        <v>0</v>
      </c>
      <c r="I163" s="415">
        <f t="shared" si="145"/>
        <v>0</v>
      </c>
      <c r="J163" s="415">
        <f t="shared" si="145"/>
        <v>0</v>
      </c>
      <c r="K163" s="416">
        <f t="shared" si="145"/>
        <v>0</v>
      </c>
      <c r="L163" s="83"/>
      <c r="M163" s="136"/>
      <c r="N163" s="131"/>
      <c r="U163" s="606"/>
    </row>
    <row r="164" spans="2:21" ht="12" customHeight="1">
      <c r="B164" s="112" t="s">
        <v>117</v>
      </c>
      <c r="C164" s="110"/>
      <c r="D164" s="110" t="s">
        <v>108</v>
      </c>
      <c r="E164" s="110" t="s">
        <v>109</v>
      </c>
      <c r="F164" s="105"/>
      <c r="G164" s="144">
        <f t="shared" si="145"/>
        <v>0</v>
      </c>
      <c r="H164" s="415">
        <f t="shared" si="145"/>
        <v>0</v>
      </c>
      <c r="I164" s="415">
        <f t="shared" si="145"/>
        <v>0</v>
      </c>
      <c r="J164" s="415">
        <f t="shared" si="145"/>
        <v>0</v>
      </c>
      <c r="K164" s="416">
        <f t="shared" si="145"/>
        <v>0</v>
      </c>
      <c r="L164" s="83"/>
      <c r="M164" s="136"/>
      <c r="N164" s="131"/>
      <c r="U164" s="606"/>
    </row>
    <row r="165" spans="2:21" ht="12" customHeight="1">
      <c r="B165" s="112" t="s">
        <v>117</v>
      </c>
      <c r="C165" s="110"/>
      <c r="D165" s="110" t="s">
        <v>110</v>
      </c>
      <c r="E165" s="110" t="s">
        <v>111</v>
      </c>
      <c r="F165" s="105"/>
      <c r="G165" s="144">
        <f t="shared" si="145"/>
        <v>0</v>
      </c>
      <c r="H165" s="415">
        <f t="shared" si="145"/>
        <v>0</v>
      </c>
      <c r="I165" s="415">
        <f t="shared" si="145"/>
        <v>0</v>
      </c>
      <c r="J165" s="415">
        <f t="shared" si="145"/>
        <v>0</v>
      </c>
      <c r="K165" s="416">
        <f t="shared" si="145"/>
        <v>0</v>
      </c>
      <c r="L165" s="83"/>
      <c r="M165" s="136"/>
      <c r="N165" s="131"/>
      <c r="U165" s="606"/>
    </row>
    <row r="166" spans="2:21" ht="12" customHeight="1">
      <c r="B166" s="112" t="s">
        <v>117</v>
      </c>
      <c r="C166" s="110"/>
      <c r="D166" s="110" t="s">
        <v>110</v>
      </c>
      <c r="E166" s="110" t="s">
        <v>113</v>
      </c>
      <c r="F166" s="105"/>
      <c r="G166" s="144">
        <f t="shared" si="145"/>
        <v>0</v>
      </c>
      <c r="H166" s="415">
        <f t="shared" si="145"/>
        <v>0</v>
      </c>
      <c r="I166" s="415">
        <f t="shared" si="145"/>
        <v>0</v>
      </c>
      <c r="J166" s="415">
        <f t="shared" si="145"/>
        <v>0</v>
      </c>
      <c r="K166" s="416">
        <f t="shared" si="145"/>
        <v>0</v>
      </c>
      <c r="L166" s="83"/>
      <c r="M166" s="136"/>
      <c r="N166" s="131"/>
      <c r="U166" s="606"/>
    </row>
    <row r="167" spans="2:21" ht="12" customHeight="1">
      <c r="B167" s="112" t="s">
        <v>117</v>
      </c>
      <c r="C167" s="110"/>
      <c r="D167" s="110" t="s">
        <v>112</v>
      </c>
      <c r="E167" s="110" t="s">
        <v>114</v>
      </c>
      <c r="F167" s="105"/>
      <c r="G167" s="144">
        <f t="shared" si="145"/>
        <v>0</v>
      </c>
      <c r="H167" s="415">
        <f t="shared" si="145"/>
        <v>0</v>
      </c>
      <c r="I167" s="415">
        <f t="shared" si="145"/>
        <v>0</v>
      </c>
      <c r="J167" s="415">
        <f t="shared" si="145"/>
        <v>0</v>
      </c>
      <c r="K167" s="416">
        <f t="shared" si="145"/>
        <v>0</v>
      </c>
      <c r="L167" s="83"/>
      <c r="M167" s="136"/>
      <c r="N167" s="131"/>
      <c r="U167" s="606"/>
    </row>
    <row r="168" spans="2:21" ht="12" customHeight="1">
      <c r="B168" s="104"/>
      <c r="C168" s="105"/>
      <c r="D168" s="105"/>
      <c r="E168" s="105"/>
      <c r="F168" s="105"/>
      <c r="G168" s="608"/>
      <c r="H168" s="227"/>
      <c r="I168" s="227"/>
      <c r="J168" s="227"/>
      <c r="K168" s="609"/>
      <c r="U168" s="606"/>
    </row>
    <row r="169" spans="2:21" ht="12" customHeight="1">
      <c r="B169" s="453" t="s">
        <v>35</v>
      </c>
      <c r="C169" s="454"/>
      <c r="D169" s="454"/>
      <c r="E169" s="454"/>
      <c r="F169" s="454"/>
      <c r="G169" s="610">
        <f>SUM(G152:G168)</f>
        <v>55306560</v>
      </c>
      <c r="H169" s="611">
        <f>SUM(H152:H168)</f>
        <v>55306560</v>
      </c>
      <c r="I169" s="611">
        <f>SUM(I152:I168)</f>
        <v>55306560</v>
      </c>
      <c r="J169" s="611">
        <f>SUM(J152:J168)</f>
        <v>55306560</v>
      </c>
      <c r="K169" s="344">
        <f>SUM(K152:K168)</f>
        <v>55306560</v>
      </c>
      <c r="U169" s="606"/>
    </row>
    <row r="170" spans="2:21" ht="12" customHeight="1">
      <c r="H170" s="612"/>
      <c r="U170" s="606"/>
    </row>
    <row r="171" spans="2:21" ht="12" customHeight="1">
      <c r="L171" s="569"/>
      <c r="N171" s="76"/>
      <c r="U171" s="606"/>
    </row>
    <row r="172" spans="2:21">
      <c r="B172" s="58" t="s">
        <v>123</v>
      </c>
      <c r="G172" s="84" t="s">
        <v>124</v>
      </c>
    </row>
    <row r="173" spans="2:21" ht="15" customHeight="1">
      <c r="B173" s="125" t="s">
        <v>397</v>
      </c>
      <c r="C173" s="98"/>
      <c r="D173" s="98"/>
      <c r="E173" s="613" t="s">
        <v>125</v>
      </c>
      <c r="F173" s="614"/>
      <c r="G173" s="615">
        <f>+TRUNC(G184*J173,0)</f>
        <v>97590225</v>
      </c>
      <c r="H173" s="149">
        <f t="shared" ref="H173:H178" si="146">G173/$G$192</f>
        <v>0.14999999906430245</v>
      </c>
      <c r="I173" s="616" t="s">
        <v>398</v>
      </c>
      <c r="J173" s="617">
        <v>1500</v>
      </c>
      <c r="L173" s="618"/>
      <c r="M173" s="619" t="s">
        <v>126</v>
      </c>
      <c r="N173" s="619" t="s">
        <v>127</v>
      </c>
      <c r="O173" s="619" t="s">
        <v>128</v>
      </c>
      <c r="P173" s="620" t="s">
        <v>399</v>
      </c>
    </row>
    <row r="174" spans="2:21" ht="12.75" customHeight="1">
      <c r="B174" s="104" t="s">
        <v>399</v>
      </c>
      <c r="C174" s="105"/>
      <c r="D174" s="105"/>
      <c r="E174" s="621" t="s">
        <v>129</v>
      </c>
      <c r="F174" s="622"/>
      <c r="G174" s="623">
        <f>P178</f>
        <v>81325188.00730519</v>
      </c>
      <c r="H174" s="159">
        <f t="shared" si="146"/>
        <v>0.125</v>
      </c>
      <c r="I174" s="624" t="s">
        <v>396</v>
      </c>
      <c r="J174" s="625">
        <f>+G174/G192</f>
        <v>0.125</v>
      </c>
      <c r="L174" s="626" t="s">
        <v>400</v>
      </c>
      <c r="M174" s="627">
        <v>0.65</v>
      </c>
      <c r="N174" s="627">
        <v>0.8</v>
      </c>
      <c r="O174" s="627">
        <v>0.2</v>
      </c>
      <c r="P174" s="628">
        <f>M174*O174*N174*$G$192</f>
        <v>67662556.422077924</v>
      </c>
      <c r="Q174" s="459"/>
    </row>
    <row r="175" spans="2:21" ht="13.5" customHeight="1">
      <c r="B175" s="104" t="s">
        <v>401</v>
      </c>
      <c r="C175" s="105"/>
      <c r="D175" s="105"/>
      <c r="E175" s="621" t="s">
        <v>130</v>
      </c>
      <c r="F175" s="622"/>
      <c r="G175" s="623">
        <f>G188*J175</f>
        <v>36433684.227272727</v>
      </c>
      <c r="H175" s="159">
        <f t="shared" si="146"/>
        <v>5.6000000000000001E-2</v>
      </c>
      <c r="I175" s="624" t="s">
        <v>402</v>
      </c>
      <c r="J175" s="629">
        <v>280</v>
      </c>
      <c r="L175" s="626" t="s">
        <v>403</v>
      </c>
      <c r="M175" s="627">
        <f>1-M174</f>
        <v>0.35</v>
      </c>
      <c r="N175" s="627">
        <v>0.6</v>
      </c>
      <c r="O175" s="627">
        <v>0.1</v>
      </c>
      <c r="P175" s="628">
        <f>M175*O175*N175*$G$192</f>
        <v>13662631.58522727</v>
      </c>
      <c r="Q175" s="459"/>
    </row>
    <row r="176" spans="2:21">
      <c r="B176" s="104" t="s">
        <v>404</v>
      </c>
      <c r="C176" s="105"/>
      <c r="D176" s="105"/>
      <c r="E176" s="621" t="s">
        <v>130</v>
      </c>
      <c r="F176" s="622"/>
      <c r="G176" s="623">
        <f>G188*J176</f>
        <v>15614436.097402595</v>
      </c>
      <c r="H176" s="159">
        <f t="shared" si="146"/>
        <v>2.3999999999999997E-2</v>
      </c>
      <c r="I176" s="624" t="s">
        <v>402</v>
      </c>
      <c r="J176" s="629">
        <v>120</v>
      </c>
      <c r="L176" s="375" t="s">
        <v>346</v>
      </c>
      <c r="M176" s="627">
        <v>0</v>
      </c>
      <c r="N176" s="627">
        <v>0</v>
      </c>
      <c r="O176" s="627">
        <v>0</v>
      </c>
      <c r="P176" s="628">
        <f>M176*O176*N176*$G$192</f>
        <v>0</v>
      </c>
    </row>
    <row r="177" spans="2:16">
      <c r="B177" s="104" t="s">
        <v>405</v>
      </c>
      <c r="C177" s="105"/>
      <c r="D177" s="105"/>
      <c r="E177" s="621" t="s">
        <v>129</v>
      </c>
      <c r="F177" s="622"/>
      <c r="G177" s="623">
        <f>G192*J177</f>
        <v>6506015.0405844152</v>
      </c>
      <c r="H177" s="159">
        <f t="shared" si="146"/>
        <v>0.01</v>
      </c>
      <c r="I177" s="624" t="s">
        <v>396</v>
      </c>
      <c r="J177" s="630">
        <v>0.01</v>
      </c>
      <c r="K177" s="131"/>
      <c r="L177" s="66"/>
      <c r="P177" s="71"/>
    </row>
    <row r="178" spans="2:16">
      <c r="B178" s="133" t="s">
        <v>35</v>
      </c>
      <c r="C178" s="116"/>
      <c r="D178" s="116"/>
      <c r="E178" s="116"/>
      <c r="F178" s="631"/>
      <c r="G178" s="632">
        <f>SUM(G173:G177)</f>
        <v>237469548.37256494</v>
      </c>
      <c r="H178" s="633">
        <f t="shared" si="146"/>
        <v>0.36499999906430247</v>
      </c>
      <c r="I178" s="634"/>
      <c r="J178" s="635"/>
      <c r="L178" s="636" t="s">
        <v>16</v>
      </c>
      <c r="M178" s="637"/>
      <c r="N178" s="637"/>
      <c r="O178" s="638">
        <f>P178/G192</f>
        <v>0.125</v>
      </c>
      <c r="P178" s="639">
        <f>P174+P175+P176</f>
        <v>81325188.00730519</v>
      </c>
    </row>
    <row r="181" spans="2:16">
      <c r="B181" s="640" t="s">
        <v>124</v>
      </c>
    </row>
    <row r="182" spans="2:16">
      <c r="B182" s="62" t="s">
        <v>20</v>
      </c>
      <c r="C182" s="85"/>
      <c r="D182" s="85"/>
      <c r="E182" s="85"/>
      <c r="F182" s="85"/>
      <c r="G182" s="127">
        <f>S7</f>
        <v>365</v>
      </c>
    </row>
    <row r="183" spans="2:16">
      <c r="B183" s="66" t="s">
        <v>131</v>
      </c>
      <c r="G183" s="132">
        <f>S9</f>
        <v>75555</v>
      </c>
    </row>
    <row r="184" spans="2:16">
      <c r="B184" s="66" t="s">
        <v>76</v>
      </c>
      <c r="G184" s="132">
        <f>S10</f>
        <v>65060.15040584415</v>
      </c>
    </row>
    <row r="185" spans="2:16">
      <c r="B185" s="66" t="s">
        <v>77</v>
      </c>
      <c r="G185" s="641">
        <f>G184/G183</f>
        <v>0.86109655755203696</v>
      </c>
    </row>
    <row r="186" spans="2:16">
      <c r="B186" s="66" t="s">
        <v>78</v>
      </c>
      <c r="G186" s="132">
        <f>S12</f>
        <v>10000</v>
      </c>
    </row>
    <row r="187" spans="2:16">
      <c r="B187" s="66" t="s">
        <v>79</v>
      </c>
      <c r="G187" s="132">
        <f>G185*G186</f>
        <v>8610.9655755203694</v>
      </c>
    </row>
    <row r="188" spans="2:16">
      <c r="B188" s="72" t="s">
        <v>132</v>
      </c>
      <c r="C188" s="89"/>
      <c r="D188" s="89"/>
      <c r="E188" s="89"/>
      <c r="F188" s="89"/>
      <c r="G188" s="135">
        <f>S14</f>
        <v>130120.3008116883</v>
      </c>
    </row>
    <row r="190" spans="2:16">
      <c r="J190" s="84" t="s">
        <v>133</v>
      </c>
      <c r="M190" s="58"/>
      <c r="N190" s="84" t="s">
        <v>134</v>
      </c>
      <c r="O190" s="58" t="s">
        <v>135</v>
      </c>
    </row>
    <row r="191" spans="2:16">
      <c r="B191" s="345" t="s">
        <v>136</v>
      </c>
      <c r="C191" s="435"/>
      <c r="D191" s="435"/>
      <c r="E191" s="435"/>
      <c r="F191" s="435"/>
      <c r="G191" s="436" t="s">
        <v>124</v>
      </c>
      <c r="H191" s="437" t="s">
        <v>137</v>
      </c>
      <c r="J191" s="642"/>
      <c r="M191" s="62" t="s">
        <v>397</v>
      </c>
      <c r="N191" s="126">
        <f>G173/$G$188</f>
        <v>749.9999953215123</v>
      </c>
      <c r="O191" s="127">
        <f>G173/$G$184</f>
        <v>1499.9999906430246</v>
      </c>
    </row>
    <row r="192" spans="2:16">
      <c r="B192" s="438" t="s">
        <v>138</v>
      </c>
      <c r="C192" s="439"/>
      <c r="D192" s="439"/>
      <c r="E192" s="439"/>
      <c r="F192" s="439"/>
      <c r="G192" s="440">
        <f>S99</f>
        <v>650601504.05844152</v>
      </c>
      <c r="H192" s="489"/>
      <c r="J192" s="643">
        <f>G192/$G$184</f>
        <v>10000</v>
      </c>
      <c r="M192" s="66" t="s">
        <v>401</v>
      </c>
      <c r="N192" s="131">
        <f>G175/$G$188</f>
        <v>280</v>
      </c>
      <c r="O192" s="132">
        <f>G175/$G$184</f>
        <v>560</v>
      </c>
    </row>
    <row r="193" spans="2:16">
      <c r="B193" s="438" t="s">
        <v>139</v>
      </c>
      <c r="C193" s="439"/>
      <c r="D193" s="439"/>
      <c r="E193" s="439"/>
      <c r="F193" s="439"/>
      <c r="G193" s="442">
        <v>0</v>
      </c>
      <c r="H193" s="490">
        <f>G193/$G$192</f>
        <v>0</v>
      </c>
      <c r="J193" s="643">
        <f>G193/$G$184</f>
        <v>0</v>
      </c>
      <c r="K193" s="76">
        <f>J193/$J$192</f>
        <v>0</v>
      </c>
      <c r="M193" s="66" t="s">
        <v>404</v>
      </c>
      <c r="N193" s="131">
        <f>G176/$G$188</f>
        <v>119.99999999999999</v>
      </c>
      <c r="O193" s="132">
        <f>G176/$G$184</f>
        <v>239.99999999999997</v>
      </c>
    </row>
    <row r="194" spans="2:16">
      <c r="B194" s="438" t="s">
        <v>61</v>
      </c>
      <c r="C194" s="439"/>
      <c r="D194" s="439"/>
      <c r="E194" s="439"/>
      <c r="F194" s="439"/>
      <c r="G194" s="442">
        <f>G169</f>
        <v>55306560</v>
      </c>
      <c r="H194" s="490">
        <f>G194/$G$192</f>
        <v>8.5008349435097497E-2</v>
      </c>
      <c r="J194" s="643">
        <f>G194/$G$184</f>
        <v>850.083494350975</v>
      </c>
      <c r="K194" s="76">
        <f>J194/$J$192</f>
        <v>8.5008349435097497E-2</v>
      </c>
      <c r="M194" s="66" t="s">
        <v>405</v>
      </c>
      <c r="N194" s="131">
        <f>G177/$G$188</f>
        <v>50</v>
      </c>
      <c r="O194" s="132">
        <f>G177/$G$184</f>
        <v>100</v>
      </c>
    </row>
    <row r="195" spans="2:16">
      <c r="B195" s="438" t="s">
        <v>140</v>
      </c>
      <c r="C195" s="439"/>
      <c r="D195" s="439"/>
      <c r="E195" s="439"/>
      <c r="F195" s="439"/>
      <c r="G195" s="442">
        <f>G178</f>
        <v>237469548.37256494</v>
      </c>
      <c r="H195" s="490">
        <f>G195/$G$192</f>
        <v>0.36499999906430247</v>
      </c>
      <c r="J195" s="643">
        <f>G195/$G$184</f>
        <v>3649.9999906430248</v>
      </c>
      <c r="K195" s="76">
        <f>J195/$J$192</f>
        <v>0.36499999906430247</v>
      </c>
      <c r="M195" s="360" t="s">
        <v>35</v>
      </c>
      <c r="N195" s="362">
        <f>SUM(N191:N194)</f>
        <v>1199.9999953215124</v>
      </c>
      <c r="O195" s="365">
        <f>SUM(O191:O194)</f>
        <v>2399.9999906430248</v>
      </c>
    </row>
    <row r="196" spans="2:16">
      <c r="B196" s="438" t="s">
        <v>141</v>
      </c>
      <c r="C196" s="439"/>
      <c r="D196" s="439"/>
      <c r="E196" s="439"/>
      <c r="F196" s="439"/>
      <c r="G196" s="442">
        <f>SUM(G193:G195)</f>
        <v>292776108.37256491</v>
      </c>
      <c r="H196" s="490">
        <f>G196/$G$192</f>
        <v>0.45000834849939991</v>
      </c>
      <c r="J196" s="643">
        <f>J194+J195+J193</f>
        <v>4500.0834849940002</v>
      </c>
      <c r="K196" s="76">
        <f>J196/$J$192</f>
        <v>0.45000834849940002</v>
      </c>
    </row>
    <row r="197" spans="2:16">
      <c r="B197" s="350" t="s">
        <v>142</v>
      </c>
      <c r="C197" s="444"/>
      <c r="D197" s="444"/>
      <c r="E197" s="444"/>
      <c r="F197" s="444"/>
      <c r="G197" s="445">
        <f>G192-G196</f>
        <v>357825395.68587661</v>
      </c>
      <c r="H197" s="491">
        <f>G197/$G$192</f>
        <v>0.54999165150060003</v>
      </c>
      <c r="J197" s="644">
        <f>J192-J196</f>
        <v>5499.9165150059998</v>
      </c>
      <c r="K197" s="76">
        <f>J197/$J$192</f>
        <v>0.54999165150060003</v>
      </c>
    </row>
    <row r="198" spans="2:16">
      <c r="B198" s="56" t="s">
        <v>2</v>
      </c>
      <c r="G198" s="246">
        <f>Proforma!D57</f>
        <v>357825395.68587661</v>
      </c>
    </row>
    <row r="203" spans="2:16">
      <c r="D203" s="345" t="s">
        <v>143</v>
      </c>
      <c r="E203" s="435"/>
      <c r="F203" s="346"/>
      <c r="G203" s="347" t="s">
        <v>30</v>
      </c>
      <c r="H203" s="348"/>
      <c r="I203" s="349" t="s">
        <v>31</v>
      </c>
      <c r="J203" s="348"/>
      <c r="K203" s="349" t="s">
        <v>32</v>
      </c>
      <c r="L203" s="348"/>
      <c r="M203" s="349" t="s">
        <v>33</v>
      </c>
      <c r="N203" s="348"/>
      <c r="O203" s="349" t="s">
        <v>34</v>
      </c>
      <c r="P203" s="348"/>
    </row>
    <row r="204" spans="2:16">
      <c r="D204" s="350" t="s">
        <v>144</v>
      </c>
      <c r="E204" s="444"/>
      <c r="F204" s="351"/>
      <c r="G204" s="352" t="s">
        <v>145</v>
      </c>
      <c r="H204" s="353" t="s">
        <v>146</v>
      </c>
      <c r="I204" s="353" t="s">
        <v>145</v>
      </c>
      <c r="J204" s="353" t="s">
        <v>146</v>
      </c>
      <c r="K204" s="353" t="s">
        <v>145</v>
      </c>
      <c r="L204" s="353" t="s">
        <v>146</v>
      </c>
      <c r="M204" s="353" t="s">
        <v>145</v>
      </c>
      <c r="N204" s="353" t="s">
        <v>146</v>
      </c>
      <c r="O204" s="353" t="s">
        <v>145</v>
      </c>
      <c r="P204" s="353" t="s">
        <v>146</v>
      </c>
    </row>
    <row r="205" spans="2:16">
      <c r="D205" s="66" t="s">
        <v>144</v>
      </c>
      <c r="F205" s="71"/>
      <c r="G205" s="645">
        <f>G148</f>
        <v>14</v>
      </c>
      <c r="H205" s="354">
        <f>G169</f>
        <v>55306560</v>
      </c>
      <c r="I205" s="126">
        <f>H148</f>
        <v>14</v>
      </c>
      <c r="J205" s="354">
        <f>H169</f>
        <v>55306560</v>
      </c>
      <c r="K205" s="126">
        <f>I148</f>
        <v>14</v>
      </c>
      <c r="L205" s="354">
        <f>I169</f>
        <v>55306560</v>
      </c>
      <c r="M205" s="126">
        <f>J148</f>
        <v>14</v>
      </c>
      <c r="N205" s="354">
        <f>J169</f>
        <v>55306560</v>
      </c>
      <c r="O205" s="126">
        <f>K148</f>
        <v>14</v>
      </c>
      <c r="P205" s="355">
        <f>K169</f>
        <v>55306560</v>
      </c>
    </row>
    <row r="206" spans="2:16">
      <c r="D206" s="66"/>
      <c r="F206" s="71"/>
      <c r="G206" s="66"/>
      <c r="P206" s="71"/>
    </row>
    <row r="207" spans="2:16">
      <c r="D207" s="66" t="s">
        <v>120</v>
      </c>
      <c r="F207" s="71"/>
      <c r="G207" s="646">
        <f>N131</f>
        <v>6</v>
      </c>
      <c r="I207" s="131">
        <f>O131</f>
        <v>6</v>
      </c>
      <c r="K207" s="131">
        <f>P131</f>
        <v>6</v>
      </c>
      <c r="M207" s="131">
        <f>Q131</f>
        <v>6</v>
      </c>
      <c r="O207" s="131">
        <f>R131</f>
        <v>6</v>
      </c>
      <c r="P207" s="71"/>
    </row>
    <row r="208" spans="2:16">
      <c r="D208" s="66" t="s">
        <v>121</v>
      </c>
      <c r="F208" s="71"/>
      <c r="G208" s="646">
        <f>N132</f>
        <v>8</v>
      </c>
      <c r="I208" s="131">
        <f>O132</f>
        <v>8</v>
      </c>
      <c r="K208" s="131">
        <f>P132</f>
        <v>8</v>
      </c>
      <c r="M208" s="131">
        <f>Q132</f>
        <v>8</v>
      </c>
      <c r="O208" s="131">
        <f>R132</f>
        <v>8</v>
      </c>
      <c r="P208" s="71"/>
    </row>
    <row r="209" spans="4:16">
      <c r="D209" s="360" t="s">
        <v>35</v>
      </c>
      <c r="E209" s="363"/>
      <c r="F209" s="361"/>
      <c r="G209" s="596">
        <f>G207+G208</f>
        <v>14</v>
      </c>
      <c r="H209" s="363"/>
      <c r="I209" s="362">
        <f>I207+I208</f>
        <v>14</v>
      </c>
      <c r="J209" s="363"/>
      <c r="K209" s="362">
        <f>K207+K208</f>
        <v>14</v>
      </c>
      <c r="L209" s="363"/>
      <c r="M209" s="362">
        <f>M207+M208</f>
        <v>14</v>
      </c>
      <c r="N209" s="363"/>
      <c r="O209" s="362">
        <f>O207+O208</f>
        <v>14</v>
      </c>
      <c r="P209" s="361"/>
    </row>
  </sheetData>
  <mergeCells count="6">
    <mergeCell ref="U18:V18"/>
    <mergeCell ref="G203:H203"/>
    <mergeCell ref="I203:J203"/>
    <mergeCell ref="K203:L203"/>
    <mergeCell ref="M203:N203"/>
    <mergeCell ref="O203:P203"/>
  </mergeCells>
  <phoneticPr fontId="23"/>
  <pageMargins left="0.7" right="0.7" top="0.75" bottom="0.75" header="0.3" footer="0.3"/>
  <pageSetup paperSize="8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CE97-C183-4F53-A5C9-70448FCB303D}">
  <dimension ref="A1:J60"/>
  <sheetViews>
    <sheetView zoomScale="85" zoomScaleNormal="85" workbookViewId="0">
      <selection activeCell="C59" sqref="C59"/>
    </sheetView>
  </sheetViews>
  <sheetFormatPr defaultColWidth="9" defaultRowHeight="12"/>
  <cols>
    <col min="1" max="2" width="4.08984375" style="492" customWidth="1"/>
    <col min="3" max="3" width="14.6328125" style="492" customWidth="1"/>
    <col min="4" max="4" width="19.36328125" style="492" customWidth="1"/>
    <col min="5" max="5" width="19.7265625" style="492" customWidth="1"/>
    <col min="6" max="6" width="22.6328125" style="492" customWidth="1"/>
    <col min="7" max="7" width="19.6328125" style="492" customWidth="1"/>
    <col min="8" max="8" width="21" style="492" customWidth="1"/>
    <col min="9" max="16384" width="9" style="492"/>
  </cols>
  <sheetData>
    <row r="1" spans="1:9" s="492" customFormat="1">
      <c r="A1" s="55" t="s">
        <v>364</v>
      </c>
    </row>
    <row r="2" spans="1:9" s="492" customFormat="1">
      <c r="A2" s="55" t="s">
        <v>298</v>
      </c>
      <c r="B2" s="55"/>
    </row>
    <row r="3" spans="1:9" s="492" customFormat="1">
      <c r="A3" s="55"/>
      <c r="B3" s="55"/>
    </row>
    <row r="6" spans="1:9" s="492" customFormat="1" ht="24" customHeight="1">
      <c r="C6" s="493" t="s">
        <v>299</v>
      </c>
      <c r="D6" s="494" t="s">
        <v>3</v>
      </c>
      <c r="E6" s="494" t="s">
        <v>300</v>
      </c>
      <c r="F6" s="495" t="s">
        <v>301</v>
      </c>
      <c r="G6" s="496"/>
      <c r="H6" s="494" t="s">
        <v>302</v>
      </c>
    </row>
    <row r="7" spans="1:9" s="492" customFormat="1">
      <c r="B7" s="497">
        <v>1</v>
      </c>
      <c r="C7" s="492" t="s">
        <v>359</v>
      </c>
      <c r="D7" s="492">
        <v>100</v>
      </c>
      <c r="F7" s="498">
        <v>27</v>
      </c>
      <c r="G7" s="498">
        <v>27</v>
      </c>
      <c r="H7" s="499">
        <f t="shared" ref="H7:H15" si="0">AVERAGE(F7:G7)</f>
        <v>27</v>
      </c>
      <c r="I7" s="500">
        <f>D7/$D$17</f>
        <v>0.48309178743961351</v>
      </c>
    </row>
    <row r="8" spans="1:9" s="492" customFormat="1">
      <c r="B8" s="497">
        <f t="shared" ref="B8:B16" si="1">B7+1</f>
        <v>2</v>
      </c>
      <c r="F8" s="498"/>
      <c r="G8" s="498"/>
      <c r="H8" s="499"/>
    </row>
    <row r="9" spans="1:9" s="492" customFormat="1">
      <c r="B9" s="497">
        <f t="shared" si="1"/>
        <v>3</v>
      </c>
      <c r="C9" s="492" t="s">
        <v>360</v>
      </c>
      <c r="D9" s="492">
        <v>100</v>
      </c>
      <c r="F9" s="498">
        <v>28.3</v>
      </c>
      <c r="G9" s="498">
        <v>28.3</v>
      </c>
      <c r="H9" s="499">
        <f t="shared" si="0"/>
        <v>28.3</v>
      </c>
      <c r="I9" s="500">
        <f>D9/$D$17</f>
        <v>0.48309178743961351</v>
      </c>
    </row>
    <row r="10" spans="1:9" s="492" customFormat="1">
      <c r="B10" s="497">
        <f t="shared" si="1"/>
        <v>4</v>
      </c>
      <c r="F10" s="498"/>
      <c r="G10" s="498"/>
      <c r="H10" s="499"/>
    </row>
    <row r="11" spans="1:9" s="492" customFormat="1">
      <c r="B11" s="497">
        <f t="shared" si="1"/>
        <v>5</v>
      </c>
      <c r="F11" s="498"/>
      <c r="G11" s="498"/>
      <c r="H11" s="499"/>
    </row>
    <row r="12" spans="1:9" s="492" customFormat="1">
      <c r="B12" s="497">
        <f t="shared" si="1"/>
        <v>6</v>
      </c>
      <c r="F12" s="498"/>
      <c r="G12" s="498"/>
      <c r="H12" s="499"/>
    </row>
    <row r="13" spans="1:9" s="492" customFormat="1">
      <c r="B13" s="497">
        <f t="shared" si="1"/>
        <v>7</v>
      </c>
      <c r="C13" s="492" t="s">
        <v>356</v>
      </c>
      <c r="D13" s="492">
        <v>5</v>
      </c>
      <c r="F13" s="498">
        <v>54</v>
      </c>
      <c r="G13" s="498">
        <v>54</v>
      </c>
      <c r="H13" s="499">
        <f t="shared" si="0"/>
        <v>54</v>
      </c>
      <c r="I13" s="500">
        <f>D13/$D$17</f>
        <v>2.4154589371980676E-2</v>
      </c>
    </row>
    <row r="14" spans="1:9" s="492" customFormat="1">
      <c r="B14" s="497">
        <f t="shared" si="1"/>
        <v>8</v>
      </c>
      <c r="C14" s="492" t="s">
        <v>362</v>
      </c>
      <c r="D14" s="492">
        <v>1</v>
      </c>
      <c r="F14" s="498">
        <v>56.6</v>
      </c>
      <c r="G14" s="498">
        <v>56.6</v>
      </c>
      <c r="H14" s="499">
        <f t="shared" si="0"/>
        <v>56.6</v>
      </c>
      <c r="I14" s="500">
        <f t="shared" ref="I14:I15" si="2">D14/$D$17</f>
        <v>4.830917874396135E-3</v>
      </c>
    </row>
    <row r="15" spans="1:9" s="492" customFormat="1">
      <c r="B15" s="497">
        <f t="shared" si="1"/>
        <v>9</v>
      </c>
      <c r="C15" s="492" t="s">
        <v>357</v>
      </c>
      <c r="D15" s="492">
        <v>1</v>
      </c>
      <c r="F15" s="498">
        <v>81</v>
      </c>
      <c r="G15" s="498">
        <v>81</v>
      </c>
      <c r="H15" s="499">
        <f t="shared" si="0"/>
        <v>81</v>
      </c>
      <c r="I15" s="500">
        <f t="shared" si="2"/>
        <v>4.830917874396135E-3</v>
      </c>
    </row>
    <row r="16" spans="1:9" s="492" customFormat="1">
      <c r="B16" s="497">
        <f t="shared" si="1"/>
        <v>10</v>
      </c>
      <c r="F16" s="498"/>
      <c r="G16" s="498"/>
      <c r="H16" s="499"/>
    </row>
    <row r="17" spans="3:10" s="492" customFormat="1" ht="29.25" customHeight="1">
      <c r="C17" s="501" t="s">
        <v>18</v>
      </c>
      <c r="D17" s="502">
        <f>SUM(D7:D16)</f>
        <v>207</v>
      </c>
      <c r="E17" s="502"/>
      <c r="F17" s="502"/>
      <c r="G17" s="502"/>
      <c r="H17" s="503">
        <f>SUMPRODUCT(D7:D16,H7:H16)/D17</f>
        <v>28.684057971014493</v>
      </c>
      <c r="I17" s="504">
        <f>SUM(I7:I16)</f>
        <v>1</v>
      </c>
      <c r="J17" s="55"/>
    </row>
    <row r="19" spans="3:10" s="492" customFormat="1" ht="15.75" customHeight="1">
      <c r="G19" s="505" t="s">
        <v>329</v>
      </c>
      <c r="H19" s="506">
        <f>SUMPRODUCT(H7:H16,D7:D16)</f>
        <v>5937.6</v>
      </c>
    </row>
    <row r="60" spans="6:6" s="492" customFormat="1">
      <c r="F60" s="3"/>
    </row>
  </sheetData>
  <mergeCells count="1">
    <mergeCell ref="F6:G6"/>
  </mergeCells>
  <phoneticPr fontId="2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7E3-23DD-4BE6-81D5-54B81F342AF2}">
  <sheetPr>
    <pageSetUpPr fitToPage="1"/>
  </sheetPr>
  <dimension ref="A1:T193"/>
  <sheetViews>
    <sheetView zoomScale="85" zoomScaleNormal="85" workbookViewId="0">
      <pane xSplit="4" ySplit="7" topLeftCell="E138" activePane="bottomRight" state="frozen"/>
      <selection activeCell="C59" sqref="C59"/>
      <selection pane="topRight" activeCell="C59" sqref="C59"/>
      <selection pane="bottomLeft" activeCell="C59" sqref="C59"/>
      <selection pane="bottomRight" activeCell="C59" sqref="C59"/>
    </sheetView>
  </sheetViews>
  <sheetFormatPr defaultColWidth="9" defaultRowHeight="12"/>
  <cols>
    <col min="1" max="1" width="4.08984375" style="56" customWidth="1"/>
    <col min="2" max="2" width="24.90625" style="56" customWidth="1"/>
    <col min="3" max="3" width="18" style="56" customWidth="1"/>
    <col min="4" max="4" width="12.36328125" style="56" customWidth="1"/>
    <col min="5" max="17" width="12.90625" style="56" customWidth="1"/>
    <col min="18" max="18" width="3.36328125" style="56" customWidth="1"/>
    <col min="19" max="19" width="12.26953125" style="56" customWidth="1"/>
    <col min="20" max="20" width="14.36328125" style="56" customWidth="1"/>
    <col min="21" max="16384" width="9" style="56"/>
  </cols>
  <sheetData>
    <row r="1" spans="1:19">
      <c r="A1" s="55" t="str">
        <f>'Room Types'!$A$1</f>
        <v>Hotel xxxx</v>
      </c>
    </row>
    <row r="2" spans="1:19" ht="15.75" customHeight="1">
      <c r="A2" s="58" t="s">
        <v>367</v>
      </c>
    </row>
    <row r="3" spans="1:19">
      <c r="A3" s="58" t="s">
        <v>27</v>
      </c>
    </row>
    <row r="5" spans="1:19">
      <c r="A5" s="58"/>
      <c r="E5" s="84"/>
    </row>
    <row r="6" spans="1:19">
      <c r="A6" s="58"/>
      <c r="E6" s="84" t="s">
        <v>73</v>
      </c>
    </row>
    <row r="7" spans="1:19">
      <c r="B7" s="58" t="s">
        <v>147</v>
      </c>
      <c r="C7" s="58"/>
      <c r="E7" s="60">
        <f>Rooms!G6</f>
        <v>1</v>
      </c>
      <c r="F7" s="60">
        <f>Rooms!H6</f>
        <v>2</v>
      </c>
      <c r="G7" s="60">
        <f>Rooms!I6</f>
        <v>3</v>
      </c>
      <c r="H7" s="60">
        <f>Rooms!J6</f>
        <v>4</v>
      </c>
      <c r="I7" s="60">
        <f>Rooms!K6</f>
        <v>5</v>
      </c>
      <c r="J7" s="60">
        <f>Rooms!L6</f>
        <v>6</v>
      </c>
      <c r="K7" s="60">
        <f>Rooms!M6</f>
        <v>7</v>
      </c>
      <c r="L7" s="60">
        <f>Rooms!N6</f>
        <v>8</v>
      </c>
      <c r="M7" s="60">
        <f>Rooms!O6</f>
        <v>9</v>
      </c>
      <c r="N7" s="60">
        <f>Rooms!P6</f>
        <v>10</v>
      </c>
      <c r="O7" s="60">
        <f>Rooms!Q6</f>
        <v>11</v>
      </c>
      <c r="P7" s="60">
        <f>Rooms!R6</f>
        <v>12</v>
      </c>
      <c r="Q7" s="60" t="s">
        <v>16</v>
      </c>
    </row>
    <row r="8" spans="1:19">
      <c r="B8" s="62" t="s">
        <v>20</v>
      </c>
      <c r="C8" s="85"/>
      <c r="D8" s="85"/>
      <c r="E8" s="63">
        <f>Rooms!G7</f>
        <v>31</v>
      </c>
      <c r="F8" s="65">
        <f>Rooms!H7</f>
        <v>28</v>
      </c>
      <c r="G8" s="65">
        <f>Rooms!I7</f>
        <v>31</v>
      </c>
      <c r="H8" s="65">
        <f>Rooms!J7</f>
        <v>30</v>
      </c>
      <c r="I8" s="65">
        <f>Rooms!K7</f>
        <v>31</v>
      </c>
      <c r="J8" s="65">
        <f>Rooms!L7</f>
        <v>30</v>
      </c>
      <c r="K8" s="65">
        <f>Rooms!M7</f>
        <v>31</v>
      </c>
      <c r="L8" s="65">
        <f>Rooms!N7</f>
        <v>31</v>
      </c>
      <c r="M8" s="65">
        <f>Rooms!O7</f>
        <v>30</v>
      </c>
      <c r="N8" s="65">
        <f>Rooms!P7</f>
        <v>31</v>
      </c>
      <c r="O8" s="65">
        <f>Rooms!Q7</f>
        <v>30</v>
      </c>
      <c r="P8" s="65">
        <f>Rooms!R7</f>
        <v>31</v>
      </c>
      <c r="Q8" s="64">
        <f t="shared" ref="Q8:Q10" si="0">SUM(E8:P8)</f>
        <v>365</v>
      </c>
    </row>
    <row r="9" spans="1:19">
      <c r="B9" s="66" t="s">
        <v>131</v>
      </c>
      <c r="E9" s="59">
        <f>Rooms!G9</f>
        <v>6417</v>
      </c>
      <c r="F9" s="68">
        <f>Rooms!H9</f>
        <v>5796</v>
      </c>
      <c r="G9" s="68">
        <f>Rooms!I9</f>
        <v>6417</v>
      </c>
      <c r="H9" s="68">
        <f>Rooms!J9</f>
        <v>6210</v>
      </c>
      <c r="I9" s="68">
        <f>Rooms!K9</f>
        <v>6417</v>
      </c>
      <c r="J9" s="68">
        <f>Rooms!L9</f>
        <v>6210</v>
      </c>
      <c r="K9" s="68">
        <f>Rooms!M9</f>
        <v>6417</v>
      </c>
      <c r="L9" s="68">
        <f>Rooms!N9</f>
        <v>6417</v>
      </c>
      <c r="M9" s="68">
        <f>Rooms!O9</f>
        <v>6210</v>
      </c>
      <c r="N9" s="68">
        <f>Rooms!P9</f>
        <v>6417</v>
      </c>
      <c r="O9" s="68">
        <f>Rooms!Q9</f>
        <v>6210</v>
      </c>
      <c r="P9" s="68">
        <f>Rooms!R9</f>
        <v>6417</v>
      </c>
      <c r="Q9" s="69">
        <f t="shared" si="0"/>
        <v>75555</v>
      </c>
    </row>
    <row r="10" spans="1:19">
      <c r="B10" s="66" t="s">
        <v>76</v>
      </c>
      <c r="E10" s="59">
        <f>Rooms!G10</f>
        <v>5133.6000000000004</v>
      </c>
      <c r="F10" s="59">
        <f>Rooms!H10</f>
        <v>4876.5553977272721</v>
      </c>
      <c r="G10" s="59">
        <f>Rooms!I10</f>
        <v>5199.7492694805205</v>
      </c>
      <c r="H10" s="59">
        <f>Rooms!J10</f>
        <v>4419.7608360389604</v>
      </c>
      <c r="I10" s="59">
        <f>Rooms!K10</f>
        <v>5652.8978084415594</v>
      </c>
      <c r="J10" s="59">
        <f>Rooms!L10</f>
        <v>5785.9776379870109</v>
      </c>
      <c r="K10" s="59">
        <f>Rooms!M10</f>
        <v>5873.7426136363656</v>
      </c>
      <c r="L10" s="59">
        <f>Rooms!N10</f>
        <v>5879.9929383116851</v>
      </c>
      <c r="M10" s="59">
        <f>Rooms!O10</f>
        <v>5784.675487012988</v>
      </c>
      <c r="N10" s="59">
        <f>Rooms!P10</f>
        <v>5785.717207792206</v>
      </c>
      <c r="O10" s="59">
        <f>Rooms!Q10</f>
        <v>5192.4572240259758</v>
      </c>
      <c r="P10" s="59">
        <f>Rooms!R10</f>
        <v>5475.0239853896119</v>
      </c>
      <c r="Q10" s="69">
        <f t="shared" si="0"/>
        <v>65060.15040584415</v>
      </c>
    </row>
    <row r="11" spans="1:19">
      <c r="B11" s="66" t="s">
        <v>77</v>
      </c>
      <c r="E11" s="70">
        <f>Rooms!G11</f>
        <v>0.8</v>
      </c>
      <c r="F11" s="70">
        <f>Rooms!H11</f>
        <v>0.8413656655844155</v>
      </c>
      <c r="G11" s="70">
        <f>Rooms!I11</f>
        <v>0.81030844155844173</v>
      </c>
      <c r="H11" s="70">
        <f>Rooms!J11</f>
        <v>0.71171672077922066</v>
      </c>
      <c r="I11" s="70">
        <f>Rooms!K11</f>
        <v>0.88092532467532481</v>
      </c>
      <c r="J11" s="70">
        <f>Rooms!L11</f>
        <v>0.93171942640692607</v>
      </c>
      <c r="K11" s="70">
        <f>Rooms!M11</f>
        <v>0.91534090909090937</v>
      </c>
      <c r="L11" s="70">
        <f>Rooms!N11</f>
        <v>0.91631493506493455</v>
      </c>
      <c r="M11" s="70">
        <f>Rooms!O11</f>
        <v>0.93150974025974043</v>
      </c>
      <c r="N11" s="70">
        <f>Rooms!P11</f>
        <v>0.90162337662337633</v>
      </c>
      <c r="O11" s="70">
        <f>Rooms!Q11</f>
        <v>0.83614448051948076</v>
      </c>
      <c r="P11" s="70">
        <f>Rooms!R11</f>
        <v>0.85320616883116907</v>
      </c>
      <c r="Q11" s="67">
        <f>Rooms!S11</f>
        <v>0.86109655755203696</v>
      </c>
    </row>
    <row r="12" spans="1:19">
      <c r="B12" s="66" t="s">
        <v>78</v>
      </c>
      <c r="E12" s="59">
        <f>Rooms!G12</f>
        <v>10000</v>
      </c>
      <c r="F12" s="59">
        <f>Rooms!H12</f>
        <v>9999.9999999999964</v>
      </c>
      <c r="G12" s="59">
        <f>Rooms!I12</f>
        <v>10000</v>
      </c>
      <c r="H12" s="59">
        <f>Rooms!J12</f>
        <v>9999.9999999999964</v>
      </c>
      <c r="I12" s="59">
        <f>Rooms!K12</f>
        <v>10000</v>
      </c>
      <c r="J12" s="59">
        <f>Rooms!L12</f>
        <v>9999.9999999999982</v>
      </c>
      <c r="K12" s="59">
        <f>Rooms!M12</f>
        <v>9999.9999999999982</v>
      </c>
      <c r="L12" s="59">
        <f>Rooms!N12</f>
        <v>10000.000000000002</v>
      </c>
      <c r="M12" s="59">
        <f>Rooms!O12</f>
        <v>10000</v>
      </c>
      <c r="N12" s="59">
        <f>Rooms!P12</f>
        <v>9999.9999999999982</v>
      </c>
      <c r="O12" s="59">
        <f>Rooms!Q12</f>
        <v>9999.9999999999964</v>
      </c>
      <c r="P12" s="59">
        <f>Rooms!R12</f>
        <v>9999.9999999999964</v>
      </c>
      <c r="Q12" s="69">
        <f>Rooms!S12</f>
        <v>10000</v>
      </c>
    </row>
    <row r="13" spans="1:19">
      <c r="B13" s="66" t="s">
        <v>79</v>
      </c>
      <c r="E13" s="59">
        <f>Rooms!G13</f>
        <v>8000</v>
      </c>
      <c r="F13" s="59">
        <f>Rooms!H13</f>
        <v>8413.6566558441518</v>
      </c>
      <c r="G13" s="59">
        <f>Rooms!I13</f>
        <v>8103.084415584417</v>
      </c>
      <c r="H13" s="59">
        <f>Rooms!J13</f>
        <v>7117.167207792204</v>
      </c>
      <c r="I13" s="59">
        <f>Rooms!K13</f>
        <v>8809.2532467532474</v>
      </c>
      <c r="J13" s="59">
        <f>Rooms!L13</f>
        <v>9317.1942640692596</v>
      </c>
      <c r="K13" s="59">
        <f>Rooms!M13</f>
        <v>9153.4090909090919</v>
      </c>
      <c r="L13" s="59">
        <f>Rooms!N13</f>
        <v>9163.149350649348</v>
      </c>
      <c r="M13" s="59">
        <f>Rooms!O13</f>
        <v>9315.0974025974047</v>
      </c>
      <c r="N13" s="59">
        <f>Rooms!P13</f>
        <v>9016.2337662337613</v>
      </c>
      <c r="O13" s="59">
        <f>Rooms!Q13</f>
        <v>8361.4448051948038</v>
      </c>
      <c r="P13" s="59">
        <f>Rooms!R13</f>
        <v>8532.0616883116872</v>
      </c>
      <c r="Q13" s="69">
        <f>Rooms!S13</f>
        <v>8610.9655755203694</v>
      </c>
    </row>
    <row r="14" spans="1:19">
      <c r="B14" s="66" t="s">
        <v>148</v>
      </c>
      <c r="D14" s="366">
        <f>Q14/Q10</f>
        <v>2</v>
      </c>
      <c r="E14" s="59">
        <f>Rooms!G14</f>
        <v>10267.200000000001</v>
      </c>
      <c r="F14" s="59">
        <f>Rooms!H14</f>
        <v>9753.1107954545441</v>
      </c>
      <c r="G14" s="59">
        <f>Rooms!I14</f>
        <v>10399.498538961041</v>
      </c>
      <c r="H14" s="59">
        <f>Rooms!J14</f>
        <v>8839.5216720779208</v>
      </c>
      <c r="I14" s="59">
        <f>Rooms!K14</f>
        <v>11305.795616883119</v>
      </c>
      <c r="J14" s="59">
        <f>Rooms!L14</f>
        <v>11571.955275974022</v>
      </c>
      <c r="K14" s="59">
        <f>Rooms!M14</f>
        <v>11747.485227272731</v>
      </c>
      <c r="L14" s="59">
        <f>Rooms!N14</f>
        <v>11759.98587662337</v>
      </c>
      <c r="M14" s="59">
        <f>Rooms!O14</f>
        <v>11569.350974025976</v>
      </c>
      <c r="N14" s="59">
        <f>Rooms!P14</f>
        <v>11571.434415584412</v>
      </c>
      <c r="O14" s="59">
        <f>Rooms!Q14</f>
        <v>10384.914448051952</v>
      </c>
      <c r="P14" s="59">
        <f>Rooms!R14</f>
        <v>10950.047970779224</v>
      </c>
      <c r="Q14" s="69">
        <f>SUM(E14:P14)</f>
        <v>130120.3008116883</v>
      </c>
    </row>
    <row r="15" spans="1:19">
      <c r="B15" s="72" t="s">
        <v>81</v>
      </c>
      <c r="C15" s="89"/>
      <c r="D15" s="447"/>
      <c r="E15" s="73">
        <f t="shared" ref="E15:Q15" si="1">E14/E8</f>
        <v>331.20000000000005</v>
      </c>
      <c r="F15" s="73">
        <f t="shared" si="1"/>
        <v>348.32538555194799</v>
      </c>
      <c r="G15" s="73">
        <f t="shared" si="1"/>
        <v>335.46769480519487</v>
      </c>
      <c r="H15" s="73">
        <f t="shared" si="1"/>
        <v>294.65072240259735</v>
      </c>
      <c r="I15" s="73">
        <f t="shared" si="1"/>
        <v>364.7030844155845</v>
      </c>
      <c r="J15" s="73">
        <f t="shared" si="1"/>
        <v>385.7318425324674</v>
      </c>
      <c r="K15" s="73">
        <f t="shared" si="1"/>
        <v>378.95113636363646</v>
      </c>
      <c r="L15" s="73">
        <f t="shared" si="1"/>
        <v>379.3543831168829</v>
      </c>
      <c r="M15" s="73">
        <f t="shared" si="1"/>
        <v>385.64503246753253</v>
      </c>
      <c r="N15" s="73">
        <f t="shared" si="1"/>
        <v>373.27207792207781</v>
      </c>
      <c r="O15" s="73">
        <f t="shared" si="1"/>
        <v>346.16381493506503</v>
      </c>
      <c r="P15" s="73">
        <f t="shared" si="1"/>
        <v>353.22735389610398</v>
      </c>
      <c r="Q15" s="75">
        <f t="shared" si="1"/>
        <v>356.49397482654331</v>
      </c>
    </row>
    <row r="16" spans="1:19">
      <c r="S16" s="218" t="s">
        <v>149</v>
      </c>
    </row>
    <row r="17" spans="2:19">
      <c r="B17" s="448" t="s">
        <v>148</v>
      </c>
      <c r="C17" s="449"/>
      <c r="D17" s="450">
        <f>D14</f>
        <v>2</v>
      </c>
      <c r="E17" s="451">
        <f>E14</f>
        <v>10267.200000000001</v>
      </c>
      <c r="F17" s="451">
        <f t="shared" ref="F17:P17" si="2">F14</f>
        <v>9753.1107954545441</v>
      </c>
      <c r="G17" s="451">
        <f t="shared" si="2"/>
        <v>10399.498538961041</v>
      </c>
      <c r="H17" s="451">
        <f t="shared" si="2"/>
        <v>8839.5216720779208</v>
      </c>
      <c r="I17" s="451">
        <f t="shared" si="2"/>
        <v>11305.795616883119</v>
      </c>
      <c r="J17" s="451">
        <f t="shared" si="2"/>
        <v>11571.955275974022</v>
      </c>
      <c r="K17" s="451">
        <f t="shared" si="2"/>
        <v>11747.485227272731</v>
      </c>
      <c r="L17" s="451">
        <f t="shared" si="2"/>
        <v>11759.98587662337</v>
      </c>
      <c r="M17" s="451">
        <f t="shared" si="2"/>
        <v>11569.350974025976</v>
      </c>
      <c r="N17" s="451">
        <f t="shared" si="2"/>
        <v>11571.434415584412</v>
      </c>
      <c r="O17" s="451">
        <f t="shared" si="2"/>
        <v>10384.914448051952</v>
      </c>
      <c r="P17" s="451">
        <f t="shared" si="2"/>
        <v>10950.047970779224</v>
      </c>
      <c r="Q17" s="452">
        <f t="shared" ref="Q17" si="3">SUM(E17:P17)</f>
        <v>130120.3008116883</v>
      </c>
      <c r="S17" s="246">
        <f>Rooms!S14</f>
        <v>130120.3008116883</v>
      </c>
    </row>
    <row r="18" spans="2:19">
      <c r="B18" s="453" t="s">
        <v>150</v>
      </c>
      <c r="C18" s="454"/>
      <c r="D18" s="454"/>
      <c r="E18" s="455">
        <f>E17/E8</f>
        <v>331.20000000000005</v>
      </c>
      <c r="F18" s="455">
        <f t="shared" ref="F18:Q18" si="4">F17/F8</f>
        <v>348.32538555194799</v>
      </c>
      <c r="G18" s="455">
        <f t="shared" si="4"/>
        <v>335.46769480519487</v>
      </c>
      <c r="H18" s="455">
        <f t="shared" si="4"/>
        <v>294.65072240259735</v>
      </c>
      <c r="I18" s="455">
        <f t="shared" si="4"/>
        <v>364.7030844155845</v>
      </c>
      <c r="J18" s="455">
        <f t="shared" si="4"/>
        <v>385.7318425324674</v>
      </c>
      <c r="K18" s="455">
        <f t="shared" si="4"/>
        <v>378.95113636363646</v>
      </c>
      <c r="L18" s="455">
        <f t="shared" si="4"/>
        <v>379.3543831168829</v>
      </c>
      <c r="M18" s="455">
        <f t="shared" si="4"/>
        <v>385.64503246753253</v>
      </c>
      <c r="N18" s="455">
        <f t="shared" si="4"/>
        <v>373.27207792207781</v>
      </c>
      <c r="O18" s="455">
        <f t="shared" si="4"/>
        <v>346.16381493506503</v>
      </c>
      <c r="P18" s="455">
        <f t="shared" si="4"/>
        <v>353.22735389610398</v>
      </c>
      <c r="Q18" s="456">
        <f t="shared" si="4"/>
        <v>356.49397482654331</v>
      </c>
    </row>
    <row r="20" spans="2:19">
      <c r="B20" s="341" t="s">
        <v>151</v>
      </c>
      <c r="C20" s="389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342"/>
    </row>
    <row r="21" spans="2:19">
      <c r="B21" s="66"/>
      <c r="D21" s="457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96"/>
      <c r="P21" s="396"/>
      <c r="Q21" s="69"/>
    </row>
    <row r="22" spans="2:19">
      <c r="B22" s="66" t="s">
        <v>152</v>
      </c>
      <c r="D22" s="458">
        <v>100</v>
      </c>
      <c r="E22" s="459"/>
      <c r="Q22" s="71"/>
    </row>
    <row r="23" spans="2:19">
      <c r="B23" s="356"/>
      <c r="C23" s="58"/>
      <c r="D23" s="460"/>
      <c r="Q23" s="71"/>
    </row>
    <row r="24" spans="2:19">
      <c r="B24" s="66" t="s">
        <v>153</v>
      </c>
      <c r="D24" s="461">
        <v>0.5</v>
      </c>
      <c r="E24" s="59">
        <f t="shared" ref="E24:P24" si="5">$D24*E17</f>
        <v>5133.6000000000004</v>
      </c>
      <c r="F24" s="59">
        <f t="shared" si="5"/>
        <v>4876.5553977272721</v>
      </c>
      <c r="G24" s="59">
        <f t="shared" si="5"/>
        <v>5199.7492694805205</v>
      </c>
      <c r="H24" s="59">
        <f t="shared" si="5"/>
        <v>4419.7608360389604</v>
      </c>
      <c r="I24" s="59">
        <f t="shared" si="5"/>
        <v>5652.8978084415594</v>
      </c>
      <c r="J24" s="59">
        <f t="shared" si="5"/>
        <v>5785.9776379870109</v>
      </c>
      <c r="K24" s="59">
        <f t="shared" si="5"/>
        <v>5873.7426136363656</v>
      </c>
      <c r="L24" s="59">
        <f t="shared" si="5"/>
        <v>5879.9929383116851</v>
      </c>
      <c r="M24" s="59">
        <f t="shared" si="5"/>
        <v>5784.675487012988</v>
      </c>
      <c r="N24" s="59">
        <f t="shared" si="5"/>
        <v>5785.717207792206</v>
      </c>
      <c r="O24" s="59">
        <f t="shared" si="5"/>
        <v>5192.4572240259758</v>
      </c>
      <c r="P24" s="59">
        <f t="shared" si="5"/>
        <v>5475.0239853896119</v>
      </c>
      <c r="Q24" s="69">
        <f>SUM(E24:P24)</f>
        <v>65060.15040584415</v>
      </c>
      <c r="S24" s="462">
        <f>Q24/$Q$17</f>
        <v>0.5</v>
      </c>
    </row>
    <row r="25" spans="2:19">
      <c r="B25" s="66" t="s">
        <v>154</v>
      </c>
      <c r="D25" s="461"/>
      <c r="E25" s="59">
        <f t="shared" ref="E25:Q25" si="6">E24/E8</f>
        <v>165.60000000000002</v>
      </c>
      <c r="F25" s="59">
        <f t="shared" si="6"/>
        <v>174.16269277597399</v>
      </c>
      <c r="G25" s="59">
        <f t="shared" si="6"/>
        <v>167.73384740259743</v>
      </c>
      <c r="H25" s="59">
        <f t="shared" si="6"/>
        <v>147.32536120129868</v>
      </c>
      <c r="I25" s="59">
        <f t="shared" si="6"/>
        <v>182.35154220779225</v>
      </c>
      <c r="J25" s="59">
        <f t="shared" si="6"/>
        <v>192.8659212662337</v>
      </c>
      <c r="K25" s="59">
        <f t="shared" si="6"/>
        <v>189.47556818181823</v>
      </c>
      <c r="L25" s="59">
        <f t="shared" si="6"/>
        <v>189.67719155844145</v>
      </c>
      <c r="M25" s="59">
        <f t="shared" si="6"/>
        <v>192.82251623376627</v>
      </c>
      <c r="N25" s="59">
        <f t="shared" si="6"/>
        <v>186.63603896103891</v>
      </c>
      <c r="O25" s="59">
        <f t="shared" si="6"/>
        <v>173.08190746753252</v>
      </c>
      <c r="P25" s="59">
        <f t="shared" si="6"/>
        <v>176.61367694805199</v>
      </c>
      <c r="Q25" s="69">
        <f t="shared" si="6"/>
        <v>178.24698741327165</v>
      </c>
    </row>
    <row r="26" spans="2:19">
      <c r="B26" s="66" t="s">
        <v>155</v>
      </c>
      <c r="D26" s="458">
        <v>3000</v>
      </c>
      <c r="E26" s="59">
        <f>$D26*E24</f>
        <v>15400800.000000002</v>
      </c>
      <c r="F26" s="59">
        <f>$D26*F24</f>
        <v>14629666.193181816</v>
      </c>
      <c r="G26" s="59">
        <f t="shared" ref="G26:P26" si="7">$D26*G24</f>
        <v>15599247.808441561</v>
      </c>
      <c r="H26" s="59">
        <f t="shared" si="7"/>
        <v>13259282.50811688</v>
      </c>
      <c r="I26" s="59">
        <f t="shared" si="7"/>
        <v>16958693.425324678</v>
      </c>
      <c r="J26" s="59">
        <f t="shared" si="7"/>
        <v>17357932.913961034</v>
      </c>
      <c r="K26" s="59">
        <f t="shared" si="7"/>
        <v>17621227.840909097</v>
      </c>
      <c r="L26" s="59">
        <f t="shared" si="7"/>
        <v>17639978.814935055</v>
      </c>
      <c r="M26" s="59">
        <f t="shared" si="7"/>
        <v>17354026.461038966</v>
      </c>
      <c r="N26" s="59">
        <f t="shared" si="7"/>
        <v>17357151.623376619</v>
      </c>
      <c r="O26" s="59">
        <f t="shared" si="7"/>
        <v>15577371.672077928</v>
      </c>
      <c r="P26" s="59">
        <f t="shared" si="7"/>
        <v>16425071.956168836</v>
      </c>
      <c r="Q26" s="69">
        <f>SUM(E26:P26)</f>
        <v>195180451.21753246</v>
      </c>
    </row>
    <row r="27" spans="2:19">
      <c r="B27" s="66"/>
      <c r="D27" s="458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9"/>
    </row>
    <row r="28" spans="2:19">
      <c r="B28" s="66" t="s">
        <v>156</v>
      </c>
      <c r="D28" s="461">
        <v>0</v>
      </c>
      <c r="E28" s="59">
        <f>$D28*$D22*E$8</f>
        <v>0</v>
      </c>
      <c r="F28" s="59">
        <f t="shared" ref="F28:P28" si="8">$D28*$D22*F$8</f>
        <v>0</v>
      </c>
      <c r="G28" s="59">
        <f t="shared" si="8"/>
        <v>0</v>
      </c>
      <c r="H28" s="59">
        <f t="shared" si="8"/>
        <v>0</v>
      </c>
      <c r="I28" s="59">
        <f t="shared" si="8"/>
        <v>0</v>
      </c>
      <c r="J28" s="59">
        <f t="shared" si="8"/>
        <v>0</v>
      </c>
      <c r="K28" s="59">
        <f t="shared" si="8"/>
        <v>0</v>
      </c>
      <c r="L28" s="59">
        <f t="shared" si="8"/>
        <v>0</v>
      </c>
      <c r="M28" s="59">
        <f t="shared" si="8"/>
        <v>0</v>
      </c>
      <c r="N28" s="59">
        <f t="shared" si="8"/>
        <v>0</v>
      </c>
      <c r="O28" s="59">
        <f t="shared" si="8"/>
        <v>0</v>
      </c>
      <c r="P28" s="59">
        <f t="shared" si="8"/>
        <v>0</v>
      </c>
      <c r="Q28" s="69">
        <f>SUM(E28:P28)</f>
        <v>0</v>
      </c>
    </row>
    <row r="29" spans="2:19">
      <c r="B29" s="66" t="s">
        <v>157</v>
      </c>
      <c r="D29" s="461"/>
      <c r="E29" s="59">
        <f t="shared" ref="E29:Q29" si="9">E28/E8</f>
        <v>0</v>
      </c>
      <c r="F29" s="59">
        <f t="shared" si="9"/>
        <v>0</v>
      </c>
      <c r="G29" s="59">
        <f t="shared" si="9"/>
        <v>0</v>
      </c>
      <c r="H29" s="59">
        <f t="shared" si="9"/>
        <v>0</v>
      </c>
      <c r="I29" s="59">
        <f t="shared" si="9"/>
        <v>0</v>
      </c>
      <c r="J29" s="59">
        <f t="shared" si="9"/>
        <v>0</v>
      </c>
      <c r="K29" s="59">
        <f t="shared" si="9"/>
        <v>0</v>
      </c>
      <c r="L29" s="59">
        <f t="shared" si="9"/>
        <v>0</v>
      </c>
      <c r="M29" s="59">
        <f t="shared" si="9"/>
        <v>0</v>
      </c>
      <c r="N29" s="59">
        <f t="shared" si="9"/>
        <v>0</v>
      </c>
      <c r="O29" s="59">
        <f t="shared" si="9"/>
        <v>0</v>
      </c>
      <c r="P29" s="59">
        <f t="shared" si="9"/>
        <v>0</v>
      </c>
      <c r="Q29" s="69">
        <f t="shared" si="9"/>
        <v>0</v>
      </c>
    </row>
    <row r="30" spans="2:19">
      <c r="B30" s="66" t="s">
        <v>158</v>
      </c>
      <c r="D30" s="458">
        <f>D26</f>
        <v>3000</v>
      </c>
      <c r="E30" s="59">
        <f>$D30*E28</f>
        <v>0</v>
      </c>
      <c r="F30" s="59">
        <f t="shared" ref="F30:P30" si="10">$D30*F28</f>
        <v>0</v>
      </c>
      <c r="G30" s="59">
        <f t="shared" si="10"/>
        <v>0</v>
      </c>
      <c r="H30" s="59">
        <f t="shared" si="10"/>
        <v>0</v>
      </c>
      <c r="I30" s="59">
        <f t="shared" si="10"/>
        <v>0</v>
      </c>
      <c r="J30" s="59">
        <f t="shared" si="10"/>
        <v>0</v>
      </c>
      <c r="K30" s="59">
        <f t="shared" si="10"/>
        <v>0</v>
      </c>
      <c r="L30" s="59">
        <f t="shared" si="10"/>
        <v>0</v>
      </c>
      <c r="M30" s="59">
        <f t="shared" si="10"/>
        <v>0</v>
      </c>
      <c r="N30" s="59">
        <f t="shared" si="10"/>
        <v>0</v>
      </c>
      <c r="O30" s="59">
        <f t="shared" si="10"/>
        <v>0</v>
      </c>
      <c r="P30" s="59">
        <f t="shared" si="10"/>
        <v>0</v>
      </c>
      <c r="Q30" s="69">
        <f>SUM(E30:P30)</f>
        <v>0</v>
      </c>
    </row>
    <row r="31" spans="2:19">
      <c r="B31" s="66"/>
      <c r="D31" s="458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9"/>
    </row>
    <row r="32" spans="2:19">
      <c r="B32" s="66" t="s">
        <v>159</v>
      </c>
      <c r="D32" s="458"/>
      <c r="E32" s="59">
        <f>E24+E28</f>
        <v>5133.6000000000004</v>
      </c>
      <c r="F32" s="59">
        <f t="shared" ref="F32:P32" si="11">F24+F28</f>
        <v>4876.5553977272721</v>
      </c>
      <c r="G32" s="59">
        <f t="shared" si="11"/>
        <v>5199.7492694805205</v>
      </c>
      <c r="H32" s="59">
        <f t="shared" si="11"/>
        <v>4419.7608360389604</v>
      </c>
      <c r="I32" s="59">
        <f t="shared" si="11"/>
        <v>5652.8978084415594</v>
      </c>
      <c r="J32" s="59">
        <f t="shared" si="11"/>
        <v>5785.9776379870109</v>
      </c>
      <c r="K32" s="59">
        <f t="shared" si="11"/>
        <v>5873.7426136363656</v>
      </c>
      <c r="L32" s="59">
        <f t="shared" si="11"/>
        <v>5879.9929383116851</v>
      </c>
      <c r="M32" s="59">
        <f t="shared" si="11"/>
        <v>5784.675487012988</v>
      </c>
      <c r="N32" s="59">
        <f t="shared" si="11"/>
        <v>5785.717207792206</v>
      </c>
      <c r="O32" s="59">
        <f t="shared" si="11"/>
        <v>5192.4572240259758</v>
      </c>
      <c r="P32" s="59">
        <f t="shared" si="11"/>
        <v>5475.0239853896119</v>
      </c>
      <c r="Q32" s="69">
        <f>SUM(E32:P32)</f>
        <v>65060.15040584415</v>
      </c>
    </row>
    <row r="33" spans="2:17">
      <c r="B33" s="66" t="s">
        <v>160</v>
      </c>
      <c r="D33" s="460"/>
      <c r="E33" s="59">
        <f t="shared" ref="E33:Q33" si="12">E32/E8</f>
        <v>165.60000000000002</v>
      </c>
      <c r="F33" s="59">
        <f t="shared" si="12"/>
        <v>174.16269277597399</v>
      </c>
      <c r="G33" s="59">
        <f t="shared" si="12"/>
        <v>167.73384740259743</v>
      </c>
      <c r="H33" s="59">
        <f t="shared" si="12"/>
        <v>147.32536120129868</v>
      </c>
      <c r="I33" s="59">
        <f t="shared" si="12"/>
        <v>182.35154220779225</v>
      </c>
      <c r="J33" s="59">
        <f t="shared" si="12"/>
        <v>192.8659212662337</v>
      </c>
      <c r="K33" s="59">
        <f t="shared" si="12"/>
        <v>189.47556818181823</v>
      </c>
      <c r="L33" s="59">
        <f t="shared" si="12"/>
        <v>189.67719155844145</v>
      </c>
      <c r="M33" s="59">
        <f t="shared" si="12"/>
        <v>192.82251623376627</v>
      </c>
      <c r="N33" s="59">
        <f t="shared" si="12"/>
        <v>186.63603896103891</v>
      </c>
      <c r="O33" s="59">
        <f t="shared" si="12"/>
        <v>173.08190746753252</v>
      </c>
      <c r="P33" s="59">
        <f t="shared" si="12"/>
        <v>176.61367694805199</v>
      </c>
      <c r="Q33" s="69">
        <f t="shared" si="12"/>
        <v>178.24698741327165</v>
      </c>
    </row>
    <row r="34" spans="2:17">
      <c r="B34" s="66" t="s">
        <v>161</v>
      </c>
      <c r="D34" s="460"/>
      <c r="E34" s="463">
        <f>E33/$D$22</f>
        <v>1.6560000000000001</v>
      </c>
      <c r="F34" s="463">
        <f t="shared" ref="F34:Q34" si="13">F33/$D$22</f>
        <v>1.74162692775974</v>
      </c>
      <c r="G34" s="463">
        <f t="shared" si="13"/>
        <v>1.6773384740259742</v>
      </c>
      <c r="H34" s="463">
        <f t="shared" si="13"/>
        <v>1.4732536120129867</v>
      </c>
      <c r="I34" s="463">
        <f t="shared" si="13"/>
        <v>1.8235154220779224</v>
      </c>
      <c r="J34" s="463">
        <f t="shared" si="13"/>
        <v>1.928659212662337</v>
      </c>
      <c r="K34" s="463">
        <f t="shared" si="13"/>
        <v>1.8947556818181823</v>
      </c>
      <c r="L34" s="463">
        <f t="shared" si="13"/>
        <v>1.8967719155844145</v>
      </c>
      <c r="M34" s="463">
        <f t="shared" si="13"/>
        <v>1.9282251623376627</v>
      </c>
      <c r="N34" s="463">
        <f t="shared" si="13"/>
        <v>1.8663603896103891</v>
      </c>
      <c r="O34" s="463">
        <f t="shared" si="13"/>
        <v>1.7308190746753251</v>
      </c>
      <c r="P34" s="463">
        <f t="shared" si="13"/>
        <v>1.7661367694805199</v>
      </c>
      <c r="Q34" s="464">
        <f t="shared" si="13"/>
        <v>1.7824698741327165</v>
      </c>
    </row>
    <row r="35" spans="2:17">
      <c r="B35" s="66" t="s">
        <v>162</v>
      </c>
      <c r="D35" s="460"/>
      <c r="E35" s="59">
        <f t="shared" ref="E35:Q35" si="14">IFERROR(E36/E32,0)</f>
        <v>3000</v>
      </c>
      <c r="F35" s="59">
        <f t="shared" si="14"/>
        <v>3000</v>
      </c>
      <c r="G35" s="59">
        <f t="shared" si="14"/>
        <v>3000</v>
      </c>
      <c r="H35" s="59">
        <f t="shared" si="14"/>
        <v>3000</v>
      </c>
      <c r="I35" s="59">
        <f t="shared" si="14"/>
        <v>3000</v>
      </c>
      <c r="J35" s="59">
        <f t="shared" si="14"/>
        <v>3000.0000000000005</v>
      </c>
      <c r="K35" s="59">
        <f t="shared" si="14"/>
        <v>3000</v>
      </c>
      <c r="L35" s="59">
        <f t="shared" si="14"/>
        <v>3000</v>
      </c>
      <c r="M35" s="59">
        <f t="shared" si="14"/>
        <v>3000.0000000000005</v>
      </c>
      <c r="N35" s="59">
        <f t="shared" si="14"/>
        <v>3000</v>
      </c>
      <c r="O35" s="59">
        <f t="shared" si="14"/>
        <v>3000</v>
      </c>
      <c r="P35" s="59">
        <f t="shared" si="14"/>
        <v>3000</v>
      </c>
      <c r="Q35" s="69">
        <f t="shared" si="14"/>
        <v>3000</v>
      </c>
    </row>
    <row r="36" spans="2:17">
      <c r="B36" s="72" t="s">
        <v>163</v>
      </c>
      <c r="C36" s="89"/>
      <c r="D36" s="465"/>
      <c r="E36" s="73">
        <f>E26+E30</f>
        <v>15400800.000000002</v>
      </c>
      <c r="F36" s="73">
        <f t="shared" ref="F36:P36" si="15">F26+F30</f>
        <v>14629666.193181816</v>
      </c>
      <c r="G36" s="73">
        <f t="shared" si="15"/>
        <v>15599247.808441561</v>
      </c>
      <c r="H36" s="73">
        <f t="shared" si="15"/>
        <v>13259282.50811688</v>
      </c>
      <c r="I36" s="73">
        <f t="shared" si="15"/>
        <v>16958693.425324678</v>
      </c>
      <c r="J36" s="73">
        <f t="shared" si="15"/>
        <v>17357932.913961034</v>
      </c>
      <c r="K36" s="73">
        <f t="shared" si="15"/>
        <v>17621227.840909097</v>
      </c>
      <c r="L36" s="73">
        <f t="shared" si="15"/>
        <v>17639978.814935055</v>
      </c>
      <c r="M36" s="73">
        <f t="shared" si="15"/>
        <v>17354026.461038966</v>
      </c>
      <c r="N36" s="73">
        <f t="shared" si="15"/>
        <v>17357151.623376619</v>
      </c>
      <c r="O36" s="73">
        <f t="shared" si="15"/>
        <v>15577371.672077928</v>
      </c>
      <c r="P36" s="73">
        <f t="shared" si="15"/>
        <v>16425071.956168836</v>
      </c>
      <c r="Q36" s="75">
        <f>SUM(E36:P36)</f>
        <v>195180451.21753246</v>
      </c>
    </row>
    <row r="37" spans="2:17">
      <c r="D37" s="460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</row>
    <row r="38" spans="2:17">
      <c r="D38" s="460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</row>
    <row r="39" spans="2:17">
      <c r="B39" s="341" t="s">
        <v>164</v>
      </c>
      <c r="C39" s="389"/>
      <c r="D39" s="466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342"/>
    </row>
    <row r="40" spans="2:17">
      <c r="B40" s="66"/>
      <c r="D40" s="467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  <c r="P40" s="396"/>
      <c r="Q40" s="69"/>
    </row>
    <row r="41" spans="2:17">
      <c r="B41" s="66" t="s">
        <v>152</v>
      </c>
      <c r="D41" s="458">
        <v>100</v>
      </c>
      <c r="Q41" s="71"/>
    </row>
    <row r="42" spans="2:17">
      <c r="B42" s="356"/>
      <c r="C42" s="58"/>
      <c r="D42" s="460"/>
      <c r="Q42" s="71"/>
    </row>
    <row r="43" spans="2:17">
      <c r="B43" s="66" t="s">
        <v>153</v>
      </c>
      <c r="D43" s="461">
        <v>0.05</v>
      </c>
      <c r="E43" s="59">
        <f>$D43*E17</f>
        <v>513.36</v>
      </c>
      <c r="F43" s="59">
        <f t="shared" ref="F43:P43" si="16">$D43*F17</f>
        <v>487.65553977272725</v>
      </c>
      <c r="G43" s="59">
        <f t="shared" si="16"/>
        <v>519.97492694805203</v>
      </c>
      <c r="H43" s="59">
        <f t="shared" si="16"/>
        <v>441.97608360389609</v>
      </c>
      <c r="I43" s="59">
        <f t="shared" si="16"/>
        <v>565.28978084415598</v>
      </c>
      <c r="J43" s="59">
        <f t="shared" si="16"/>
        <v>578.59776379870107</v>
      </c>
      <c r="K43" s="59">
        <f t="shared" si="16"/>
        <v>587.37426136363661</v>
      </c>
      <c r="L43" s="59">
        <f t="shared" si="16"/>
        <v>587.99929383116853</v>
      </c>
      <c r="M43" s="59">
        <f t="shared" si="16"/>
        <v>578.46754870129882</v>
      </c>
      <c r="N43" s="59">
        <f t="shared" si="16"/>
        <v>578.57172077922064</v>
      </c>
      <c r="O43" s="59">
        <f t="shared" si="16"/>
        <v>519.24572240259761</v>
      </c>
      <c r="P43" s="59">
        <f t="shared" si="16"/>
        <v>547.50239853896119</v>
      </c>
      <c r="Q43" s="69">
        <f>SUM(E43:P43)</f>
        <v>6506.0150405844161</v>
      </c>
    </row>
    <row r="44" spans="2:17">
      <c r="B44" s="66" t="s">
        <v>154</v>
      </c>
      <c r="D44" s="461"/>
      <c r="E44" s="59">
        <f t="shared" ref="E44:Q44" si="17">E43/E8</f>
        <v>16.559999999999999</v>
      </c>
      <c r="F44" s="59">
        <f t="shared" si="17"/>
        <v>17.416269277597401</v>
      </c>
      <c r="G44" s="59">
        <f t="shared" si="17"/>
        <v>16.773384740259743</v>
      </c>
      <c r="H44" s="59">
        <f t="shared" si="17"/>
        <v>14.73253612012987</v>
      </c>
      <c r="I44" s="59">
        <f t="shared" si="17"/>
        <v>18.235154220779226</v>
      </c>
      <c r="J44" s="59">
        <f t="shared" si="17"/>
        <v>19.286592126623368</v>
      </c>
      <c r="K44" s="59">
        <f t="shared" si="17"/>
        <v>18.947556818181827</v>
      </c>
      <c r="L44" s="59">
        <f t="shared" si="17"/>
        <v>18.967719155844147</v>
      </c>
      <c r="M44" s="59">
        <f t="shared" si="17"/>
        <v>19.282251623376627</v>
      </c>
      <c r="N44" s="59">
        <f t="shared" si="17"/>
        <v>18.66360389610389</v>
      </c>
      <c r="O44" s="59">
        <f t="shared" si="17"/>
        <v>17.308190746753255</v>
      </c>
      <c r="P44" s="59">
        <f t="shared" si="17"/>
        <v>17.6613676948052</v>
      </c>
      <c r="Q44" s="69">
        <f t="shared" si="17"/>
        <v>17.824698741327168</v>
      </c>
    </row>
    <row r="45" spans="2:17">
      <c r="B45" s="66" t="s">
        <v>155</v>
      </c>
      <c r="D45" s="458">
        <v>3000</v>
      </c>
      <c r="E45" s="59">
        <f>$D45*E43</f>
        <v>1540080</v>
      </c>
      <c r="F45" s="59">
        <f t="shared" ref="F45:P45" si="18">$D45*F43</f>
        <v>1462966.6193181816</v>
      </c>
      <c r="G45" s="59">
        <f t="shared" si="18"/>
        <v>1559924.7808441562</v>
      </c>
      <c r="H45" s="59">
        <f t="shared" si="18"/>
        <v>1325928.2508116884</v>
      </c>
      <c r="I45" s="59">
        <f t="shared" si="18"/>
        <v>1695869.342532468</v>
      </c>
      <c r="J45" s="59">
        <f t="shared" si="18"/>
        <v>1735793.2913961031</v>
      </c>
      <c r="K45" s="59">
        <f t="shared" si="18"/>
        <v>1762122.7840909099</v>
      </c>
      <c r="L45" s="59">
        <f t="shared" si="18"/>
        <v>1763997.8814935056</v>
      </c>
      <c r="M45" s="59">
        <f t="shared" si="18"/>
        <v>1735402.6461038964</v>
      </c>
      <c r="N45" s="59">
        <f t="shared" si="18"/>
        <v>1735715.162337662</v>
      </c>
      <c r="O45" s="59">
        <f t="shared" si="18"/>
        <v>1557737.1672077929</v>
      </c>
      <c r="P45" s="59">
        <f t="shared" si="18"/>
        <v>1642507.1956168835</v>
      </c>
      <c r="Q45" s="69">
        <f>SUM(E45:P45)</f>
        <v>19518045.121753246</v>
      </c>
    </row>
    <row r="46" spans="2:17">
      <c r="B46" s="66"/>
      <c r="D46" s="458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69"/>
    </row>
    <row r="47" spans="2:17">
      <c r="B47" s="66" t="s">
        <v>156</v>
      </c>
      <c r="D47" s="461">
        <v>0.7</v>
      </c>
      <c r="E47" s="59">
        <f>$D47*$D41*E$8</f>
        <v>2170</v>
      </c>
      <c r="F47" s="59">
        <f t="shared" ref="F47:P47" si="19">$D47*$D41*F$8</f>
        <v>1960</v>
      </c>
      <c r="G47" s="59">
        <f t="shared" si="19"/>
        <v>2170</v>
      </c>
      <c r="H47" s="59">
        <f t="shared" si="19"/>
        <v>2100</v>
      </c>
      <c r="I47" s="59">
        <f t="shared" si="19"/>
        <v>2170</v>
      </c>
      <c r="J47" s="59">
        <f t="shared" si="19"/>
        <v>2100</v>
      </c>
      <c r="K47" s="59">
        <f t="shared" si="19"/>
        <v>2170</v>
      </c>
      <c r="L47" s="59">
        <f t="shared" si="19"/>
        <v>2170</v>
      </c>
      <c r="M47" s="59">
        <f t="shared" si="19"/>
        <v>2100</v>
      </c>
      <c r="N47" s="59">
        <f t="shared" si="19"/>
        <v>2170</v>
      </c>
      <c r="O47" s="59">
        <f t="shared" si="19"/>
        <v>2100</v>
      </c>
      <c r="P47" s="59">
        <f t="shared" si="19"/>
        <v>2170</v>
      </c>
      <c r="Q47" s="69">
        <f>SUM(E47:P47)</f>
        <v>25550</v>
      </c>
    </row>
    <row r="48" spans="2:17">
      <c r="B48" s="66" t="s">
        <v>157</v>
      </c>
      <c r="D48" s="461"/>
      <c r="E48" s="59">
        <f t="shared" ref="E48:Q48" si="20">E47/E8</f>
        <v>70</v>
      </c>
      <c r="F48" s="59">
        <f t="shared" si="20"/>
        <v>70</v>
      </c>
      <c r="G48" s="59">
        <f t="shared" si="20"/>
        <v>70</v>
      </c>
      <c r="H48" s="59">
        <f t="shared" si="20"/>
        <v>70</v>
      </c>
      <c r="I48" s="59">
        <f t="shared" si="20"/>
        <v>70</v>
      </c>
      <c r="J48" s="59">
        <f t="shared" si="20"/>
        <v>70</v>
      </c>
      <c r="K48" s="59">
        <f t="shared" si="20"/>
        <v>70</v>
      </c>
      <c r="L48" s="59">
        <f t="shared" si="20"/>
        <v>70</v>
      </c>
      <c r="M48" s="59">
        <f t="shared" si="20"/>
        <v>70</v>
      </c>
      <c r="N48" s="59">
        <f t="shared" si="20"/>
        <v>70</v>
      </c>
      <c r="O48" s="59">
        <f t="shared" si="20"/>
        <v>70</v>
      </c>
      <c r="P48" s="59">
        <f t="shared" si="20"/>
        <v>70</v>
      </c>
      <c r="Q48" s="69">
        <f t="shared" si="20"/>
        <v>70</v>
      </c>
    </row>
    <row r="49" spans="2:19">
      <c r="B49" s="66" t="s">
        <v>158</v>
      </c>
      <c r="D49" s="458">
        <f>D45</f>
        <v>3000</v>
      </c>
      <c r="E49" s="59">
        <f>$D49*E47</f>
        <v>6510000</v>
      </c>
      <c r="F49" s="59">
        <f t="shared" ref="F49:P49" si="21">$D49*F47</f>
        <v>5880000</v>
      </c>
      <c r="G49" s="59">
        <f t="shared" si="21"/>
        <v>6510000</v>
      </c>
      <c r="H49" s="59">
        <f t="shared" si="21"/>
        <v>6300000</v>
      </c>
      <c r="I49" s="59">
        <f t="shared" si="21"/>
        <v>6510000</v>
      </c>
      <c r="J49" s="59">
        <f t="shared" si="21"/>
        <v>6300000</v>
      </c>
      <c r="K49" s="59">
        <f t="shared" si="21"/>
        <v>6510000</v>
      </c>
      <c r="L49" s="59">
        <f t="shared" si="21"/>
        <v>6510000</v>
      </c>
      <c r="M49" s="59">
        <f t="shared" si="21"/>
        <v>6300000</v>
      </c>
      <c r="N49" s="59">
        <f t="shared" si="21"/>
        <v>6510000</v>
      </c>
      <c r="O49" s="59">
        <f t="shared" si="21"/>
        <v>6300000</v>
      </c>
      <c r="P49" s="59">
        <f t="shared" si="21"/>
        <v>6510000</v>
      </c>
      <c r="Q49" s="69">
        <f>SUM(E49:P49)</f>
        <v>76650000</v>
      </c>
    </row>
    <row r="50" spans="2:19">
      <c r="B50" s="66"/>
      <c r="D50" s="458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69"/>
    </row>
    <row r="51" spans="2:19">
      <c r="B51" s="66" t="s">
        <v>159</v>
      </c>
      <c r="D51" s="458"/>
      <c r="E51" s="59">
        <f>E43+E47</f>
        <v>2683.36</v>
      </c>
      <c r="F51" s="59">
        <f t="shared" ref="F51:P51" si="22">F43+F47</f>
        <v>2447.655539772727</v>
      </c>
      <c r="G51" s="59">
        <f t="shared" si="22"/>
        <v>2689.9749269480521</v>
      </c>
      <c r="H51" s="59">
        <f t="shared" si="22"/>
        <v>2541.9760836038959</v>
      </c>
      <c r="I51" s="59">
        <f t="shared" si="22"/>
        <v>2735.2897808441558</v>
      </c>
      <c r="J51" s="59">
        <f t="shared" si="22"/>
        <v>2678.5977637987012</v>
      </c>
      <c r="K51" s="59">
        <f t="shared" si="22"/>
        <v>2757.3742613636368</v>
      </c>
      <c r="L51" s="59">
        <f t="shared" si="22"/>
        <v>2757.9992938311684</v>
      </c>
      <c r="M51" s="59">
        <f t="shared" si="22"/>
        <v>2678.4675487012987</v>
      </c>
      <c r="N51" s="59">
        <f t="shared" si="22"/>
        <v>2748.5717207792204</v>
      </c>
      <c r="O51" s="59">
        <f t="shared" si="22"/>
        <v>2619.2457224025975</v>
      </c>
      <c r="P51" s="59">
        <f t="shared" si="22"/>
        <v>2717.5023985389612</v>
      </c>
      <c r="Q51" s="69">
        <f>SUM(E51:P51)</f>
        <v>32056.015040584418</v>
      </c>
    </row>
    <row r="52" spans="2:19">
      <c r="B52" s="66" t="s">
        <v>160</v>
      </c>
      <c r="E52" s="59">
        <f t="shared" ref="E52:Q52" si="23">E51/E8</f>
        <v>86.56</v>
      </c>
      <c r="F52" s="59">
        <f t="shared" si="23"/>
        <v>87.416269277597394</v>
      </c>
      <c r="G52" s="59">
        <f t="shared" si="23"/>
        <v>86.773384740259743</v>
      </c>
      <c r="H52" s="59">
        <f t="shared" si="23"/>
        <v>84.732536120129865</v>
      </c>
      <c r="I52" s="59">
        <f t="shared" si="23"/>
        <v>88.235154220779222</v>
      </c>
      <c r="J52" s="59">
        <f t="shared" si="23"/>
        <v>89.286592126623376</v>
      </c>
      <c r="K52" s="59">
        <f t="shared" si="23"/>
        <v>88.947556818181837</v>
      </c>
      <c r="L52" s="59">
        <f t="shared" si="23"/>
        <v>88.967719155844136</v>
      </c>
      <c r="M52" s="59">
        <f t="shared" si="23"/>
        <v>89.282251623376624</v>
      </c>
      <c r="N52" s="59">
        <f t="shared" si="23"/>
        <v>88.663603896103879</v>
      </c>
      <c r="O52" s="59">
        <f t="shared" si="23"/>
        <v>87.308190746753255</v>
      </c>
      <c r="P52" s="59">
        <f t="shared" si="23"/>
        <v>87.661367694805193</v>
      </c>
      <c r="Q52" s="69">
        <f t="shared" si="23"/>
        <v>87.824698741327168</v>
      </c>
    </row>
    <row r="53" spans="2:19">
      <c r="B53" s="66" t="s">
        <v>161</v>
      </c>
      <c r="E53" s="463">
        <f>E52/$D$41</f>
        <v>0.86560000000000004</v>
      </c>
      <c r="F53" s="463">
        <f t="shared" ref="F53:Q53" si="24">F52/$D$41</f>
        <v>0.87416269277597392</v>
      </c>
      <c r="G53" s="463">
        <f t="shared" si="24"/>
        <v>0.8677338474025974</v>
      </c>
      <c r="H53" s="463">
        <f t="shared" si="24"/>
        <v>0.84732536120129864</v>
      </c>
      <c r="I53" s="463">
        <f t="shared" si="24"/>
        <v>0.88235154220779222</v>
      </c>
      <c r="J53" s="463">
        <f t="shared" si="24"/>
        <v>0.89286592126623376</v>
      </c>
      <c r="K53" s="463">
        <f t="shared" si="24"/>
        <v>0.88947556818181839</v>
      </c>
      <c r="L53" s="463">
        <f t="shared" si="24"/>
        <v>0.88967719155844138</v>
      </c>
      <c r="M53" s="463">
        <f t="shared" si="24"/>
        <v>0.89282251623376618</v>
      </c>
      <c r="N53" s="463">
        <f t="shared" si="24"/>
        <v>0.88663603896103882</v>
      </c>
      <c r="O53" s="463">
        <f t="shared" si="24"/>
        <v>0.87308190746753256</v>
      </c>
      <c r="P53" s="463">
        <f t="shared" si="24"/>
        <v>0.87661367694805192</v>
      </c>
      <c r="Q53" s="464">
        <f t="shared" si="24"/>
        <v>0.87824698741327167</v>
      </c>
    </row>
    <row r="54" spans="2:19">
      <c r="B54" s="66" t="s">
        <v>162</v>
      </c>
      <c r="E54" s="59">
        <f t="shared" ref="E54:Q54" si="25">IFERROR(E55/E51,0)</f>
        <v>3000</v>
      </c>
      <c r="F54" s="59">
        <f t="shared" si="25"/>
        <v>3000.0000000000005</v>
      </c>
      <c r="G54" s="59">
        <f t="shared" si="25"/>
        <v>2999.9999999999995</v>
      </c>
      <c r="H54" s="59">
        <f t="shared" si="25"/>
        <v>3000.0000000000005</v>
      </c>
      <c r="I54" s="59">
        <f t="shared" si="25"/>
        <v>3000.0000000000005</v>
      </c>
      <c r="J54" s="59">
        <f t="shared" si="25"/>
        <v>2999.9999999999995</v>
      </c>
      <c r="K54" s="59">
        <f t="shared" si="25"/>
        <v>3000</v>
      </c>
      <c r="L54" s="59">
        <f t="shared" si="25"/>
        <v>3000</v>
      </c>
      <c r="M54" s="59">
        <f t="shared" si="25"/>
        <v>3000</v>
      </c>
      <c r="N54" s="59">
        <f t="shared" si="25"/>
        <v>3000</v>
      </c>
      <c r="O54" s="59">
        <f t="shared" si="25"/>
        <v>3000</v>
      </c>
      <c r="P54" s="59">
        <f t="shared" si="25"/>
        <v>3000</v>
      </c>
      <c r="Q54" s="69">
        <f t="shared" si="25"/>
        <v>2999.9999999999995</v>
      </c>
    </row>
    <row r="55" spans="2:19">
      <c r="B55" s="72" t="s">
        <v>163</v>
      </c>
      <c r="C55" s="89"/>
      <c r="D55" s="89"/>
      <c r="E55" s="73">
        <f>E45+E49</f>
        <v>8050080</v>
      </c>
      <c r="F55" s="73">
        <f t="shared" ref="F55:P55" si="26">F45+F49</f>
        <v>7342966.6193181816</v>
      </c>
      <c r="G55" s="73">
        <f t="shared" si="26"/>
        <v>8069924.7808441557</v>
      </c>
      <c r="H55" s="73">
        <f t="shared" si="26"/>
        <v>7625928.2508116886</v>
      </c>
      <c r="I55" s="73">
        <f t="shared" si="26"/>
        <v>8205869.342532468</v>
      </c>
      <c r="J55" s="73">
        <f t="shared" si="26"/>
        <v>8035793.2913961029</v>
      </c>
      <c r="K55" s="73">
        <f t="shared" si="26"/>
        <v>8272122.7840909101</v>
      </c>
      <c r="L55" s="73">
        <f t="shared" si="26"/>
        <v>8273997.8814935051</v>
      </c>
      <c r="M55" s="73">
        <f t="shared" si="26"/>
        <v>8035402.6461038962</v>
      </c>
      <c r="N55" s="73">
        <f t="shared" si="26"/>
        <v>8245715.1623376617</v>
      </c>
      <c r="O55" s="73">
        <f t="shared" si="26"/>
        <v>7857737.1672077924</v>
      </c>
      <c r="P55" s="73">
        <f t="shared" si="26"/>
        <v>8152507.1956168832</v>
      </c>
      <c r="Q55" s="75">
        <f>SUM(E55:P55)</f>
        <v>96168045.121753246</v>
      </c>
    </row>
    <row r="56" spans="2:19"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</row>
    <row r="57" spans="2:19"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</row>
    <row r="58" spans="2:19">
      <c r="B58" s="341" t="s">
        <v>165</v>
      </c>
      <c r="C58" s="389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342"/>
    </row>
    <row r="59" spans="2:19">
      <c r="B59" s="66"/>
      <c r="Q59" s="71"/>
    </row>
    <row r="60" spans="2:19">
      <c r="B60" s="66" t="s">
        <v>152</v>
      </c>
      <c r="D60" s="458">
        <v>100</v>
      </c>
      <c r="F60" s="1"/>
      <c r="Q60" s="71"/>
    </row>
    <row r="61" spans="2:19">
      <c r="B61" s="356"/>
      <c r="C61" s="58"/>
      <c r="D61" s="460"/>
      <c r="Q61" s="71"/>
    </row>
    <row r="62" spans="2:19">
      <c r="B62" s="66" t="s">
        <v>153</v>
      </c>
      <c r="D62" s="461">
        <v>0.3</v>
      </c>
      <c r="E62" s="59">
        <f>$D62*E17</f>
        <v>3080.1600000000003</v>
      </c>
      <c r="F62" s="59">
        <f t="shared" ref="F62:P62" si="27">$D62*F17</f>
        <v>2925.9332386363631</v>
      </c>
      <c r="G62" s="59">
        <f t="shared" si="27"/>
        <v>3119.8495616883124</v>
      </c>
      <c r="H62" s="59">
        <f t="shared" si="27"/>
        <v>2651.8565016233761</v>
      </c>
      <c r="I62" s="59">
        <f t="shared" si="27"/>
        <v>3391.7386850649355</v>
      </c>
      <c r="J62" s="59">
        <f t="shared" si="27"/>
        <v>3471.5865827922066</v>
      </c>
      <c r="K62" s="59">
        <f t="shared" si="27"/>
        <v>3524.2455681818192</v>
      </c>
      <c r="L62" s="59">
        <f t="shared" si="27"/>
        <v>3527.9957629870109</v>
      </c>
      <c r="M62" s="59">
        <f t="shared" si="27"/>
        <v>3470.8052922077927</v>
      </c>
      <c r="N62" s="59">
        <f t="shared" si="27"/>
        <v>3471.4303246753234</v>
      </c>
      <c r="O62" s="59">
        <f t="shared" si="27"/>
        <v>3115.4743344155854</v>
      </c>
      <c r="P62" s="59">
        <f t="shared" si="27"/>
        <v>3285.0143912337671</v>
      </c>
      <c r="Q62" s="69">
        <f>SUM(E62:P62)</f>
        <v>39036.090243506485</v>
      </c>
      <c r="S62" s="462">
        <f>Q62/$Q$17</f>
        <v>0.3</v>
      </c>
    </row>
    <row r="63" spans="2:19">
      <c r="B63" s="66" t="s">
        <v>154</v>
      </c>
      <c r="D63" s="461"/>
      <c r="E63" s="59">
        <f t="shared" ref="E63:Q63" si="28">E62/E8</f>
        <v>99.360000000000014</v>
      </c>
      <c r="F63" s="59">
        <f t="shared" si="28"/>
        <v>104.49761566558439</v>
      </c>
      <c r="G63" s="59">
        <f t="shared" si="28"/>
        <v>100.64030844155846</v>
      </c>
      <c r="H63" s="59">
        <f t="shared" si="28"/>
        <v>88.395216720779203</v>
      </c>
      <c r="I63" s="59">
        <f t="shared" si="28"/>
        <v>109.41092532467533</v>
      </c>
      <c r="J63" s="59">
        <f t="shared" si="28"/>
        <v>115.71955275974022</v>
      </c>
      <c r="K63" s="59">
        <f t="shared" si="28"/>
        <v>113.68534090909094</v>
      </c>
      <c r="L63" s="59">
        <f t="shared" si="28"/>
        <v>113.80631493506488</v>
      </c>
      <c r="M63" s="59">
        <f t="shared" si="28"/>
        <v>115.69350974025976</v>
      </c>
      <c r="N63" s="59">
        <f t="shared" si="28"/>
        <v>111.98162337662333</v>
      </c>
      <c r="O63" s="59">
        <f t="shared" si="28"/>
        <v>103.84914448051951</v>
      </c>
      <c r="P63" s="59">
        <f t="shared" si="28"/>
        <v>105.9682061688312</v>
      </c>
      <c r="Q63" s="69">
        <f t="shared" si="28"/>
        <v>106.94819244796297</v>
      </c>
    </row>
    <row r="64" spans="2:19">
      <c r="B64" s="66" t="s">
        <v>155</v>
      </c>
      <c r="D64" s="458">
        <v>6000</v>
      </c>
      <c r="E64" s="59">
        <f>$D64*E62</f>
        <v>18480960</v>
      </c>
      <c r="F64" s="59">
        <f>$D64*F62</f>
        <v>17555599.43181818</v>
      </c>
      <c r="G64" s="59">
        <f t="shared" ref="G64:P64" si="29">$D64*G62</f>
        <v>18719097.370129876</v>
      </c>
      <c r="H64" s="59">
        <f t="shared" si="29"/>
        <v>15911139.009740256</v>
      </c>
      <c r="I64" s="59">
        <f t="shared" si="29"/>
        <v>20350432.110389613</v>
      </c>
      <c r="J64" s="59">
        <f t="shared" si="29"/>
        <v>20829519.496753238</v>
      </c>
      <c r="K64" s="59">
        <f t="shared" si="29"/>
        <v>21145473.409090914</v>
      </c>
      <c r="L64" s="59">
        <f t="shared" si="29"/>
        <v>21167974.577922065</v>
      </c>
      <c r="M64" s="59">
        <f t="shared" si="29"/>
        <v>20824831.753246758</v>
      </c>
      <c r="N64" s="59">
        <f t="shared" si="29"/>
        <v>20828581.948051941</v>
      </c>
      <c r="O64" s="59">
        <f t="shared" si="29"/>
        <v>18692846.006493513</v>
      </c>
      <c r="P64" s="59">
        <f t="shared" si="29"/>
        <v>19710086.347402602</v>
      </c>
      <c r="Q64" s="69">
        <f>SUM(E64:P64)</f>
        <v>234216541.46103895</v>
      </c>
    </row>
    <row r="65" spans="2:17">
      <c r="B65" s="66"/>
      <c r="D65" s="458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9"/>
    </row>
    <row r="66" spans="2:17">
      <c r="B66" s="66" t="s">
        <v>156</v>
      </c>
      <c r="D66" s="461">
        <v>0.2</v>
      </c>
      <c r="E66" s="59">
        <f>$D66*$D60*E$8</f>
        <v>620</v>
      </c>
      <c r="F66" s="59">
        <f>$D66*$D60*F$8</f>
        <v>560</v>
      </c>
      <c r="G66" s="59">
        <f>$D66*$D60*G$8</f>
        <v>620</v>
      </c>
      <c r="H66" s="59">
        <f t="shared" ref="H66:P66" si="30">$D66*$D60*H$8</f>
        <v>600</v>
      </c>
      <c r="I66" s="59">
        <f t="shared" si="30"/>
        <v>620</v>
      </c>
      <c r="J66" s="59">
        <f t="shared" si="30"/>
        <v>600</v>
      </c>
      <c r="K66" s="59">
        <f t="shared" si="30"/>
        <v>620</v>
      </c>
      <c r="L66" s="59">
        <f t="shared" si="30"/>
        <v>620</v>
      </c>
      <c r="M66" s="59">
        <f t="shared" si="30"/>
        <v>600</v>
      </c>
      <c r="N66" s="59">
        <f t="shared" si="30"/>
        <v>620</v>
      </c>
      <c r="O66" s="59">
        <f t="shared" si="30"/>
        <v>600</v>
      </c>
      <c r="P66" s="59">
        <f t="shared" si="30"/>
        <v>620</v>
      </c>
      <c r="Q66" s="69">
        <f>SUM(E66:P66)</f>
        <v>7300</v>
      </c>
    </row>
    <row r="67" spans="2:17">
      <c r="B67" s="66" t="s">
        <v>157</v>
      </c>
      <c r="D67" s="461"/>
      <c r="E67" s="59">
        <f t="shared" ref="E67:Q67" si="31">E66/E8</f>
        <v>20</v>
      </c>
      <c r="F67" s="59">
        <f t="shared" si="31"/>
        <v>20</v>
      </c>
      <c r="G67" s="59">
        <f t="shared" si="31"/>
        <v>20</v>
      </c>
      <c r="H67" s="59">
        <f t="shared" si="31"/>
        <v>20</v>
      </c>
      <c r="I67" s="59">
        <f t="shared" si="31"/>
        <v>20</v>
      </c>
      <c r="J67" s="59">
        <f t="shared" si="31"/>
        <v>20</v>
      </c>
      <c r="K67" s="59">
        <f t="shared" si="31"/>
        <v>20</v>
      </c>
      <c r="L67" s="59">
        <f t="shared" si="31"/>
        <v>20</v>
      </c>
      <c r="M67" s="59">
        <f t="shared" si="31"/>
        <v>20</v>
      </c>
      <c r="N67" s="59">
        <f t="shared" si="31"/>
        <v>20</v>
      </c>
      <c r="O67" s="59">
        <f t="shared" si="31"/>
        <v>20</v>
      </c>
      <c r="P67" s="59">
        <f t="shared" si="31"/>
        <v>20</v>
      </c>
      <c r="Q67" s="69">
        <f t="shared" si="31"/>
        <v>20</v>
      </c>
    </row>
    <row r="68" spans="2:17">
      <c r="B68" s="66" t="s">
        <v>158</v>
      </c>
      <c r="D68" s="458">
        <f>D64</f>
        <v>6000</v>
      </c>
      <c r="E68" s="59">
        <f>$D68*E66</f>
        <v>3720000</v>
      </c>
      <c r="F68" s="59">
        <f t="shared" ref="F68:P68" si="32">$D68*F66</f>
        <v>3360000</v>
      </c>
      <c r="G68" s="59">
        <f t="shared" si="32"/>
        <v>3720000</v>
      </c>
      <c r="H68" s="59">
        <f t="shared" si="32"/>
        <v>3600000</v>
      </c>
      <c r="I68" s="59">
        <f t="shared" si="32"/>
        <v>3720000</v>
      </c>
      <c r="J68" s="59">
        <f t="shared" si="32"/>
        <v>3600000</v>
      </c>
      <c r="K68" s="59">
        <f t="shared" si="32"/>
        <v>3720000</v>
      </c>
      <c r="L68" s="59">
        <f t="shared" si="32"/>
        <v>3720000</v>
      </c>
      <c r="M68" s="59">
        <f t="shared" si="32"/>
        <v>3600000</v>
      </c>
      <c r="N68" s="59">
        <f t="shared" si="32"/>
        <v>3720000</v>
      </c>
      <c r="O68" s="59">
        <f t="shared" si="32"/>
        <v>3600000</v>
      </c>
      <c r="P68" s="59">
        <f t="shared" si="32"/>
        <v>3720000</v>
      </c>
      <c r="Q68" s="69">
        <f>SUM(E68:P68)</f>
        <v>43800000</v>
      </c>
    </row>
    <row r="69" spans="2:17">
      <c r="B69" s="66"/>
      <c r="D69" s="458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9"/>
    </row>
    <row r="70" spans="2:17">
      <c r="B70" s="66" t="s">
        <v>159</v>
      </c>
      <c r="D70" s="458"/>
      <c r="E70" s="59">
        <f>E62+E66</f>
        <v>3700.1600000000003</v>
      </c>
      <c r="F70" s="59">
        <f t="shared" ref="F70:P70" si="33">F62+F66</f>
        <v>3485.9332386363631</v>
      </c>
      <c r="G70" s="59">
        <f t="shared" si="33"/>
        <v>3739.8495616883124</v>
      </c>
      <c r="H70" s="59">
        <f t="shared" si="33"/>
        <v>3251.8565016233761</v>
      </c>
      <c r="I70" s="59">
        <f t="shared" si="33"/>
        <v>4011.7386850649355</v>
      </c>
      <c r="J70" s="59">
        <f t="shared" si="33"/>
        <v>4071.5865827922066</v>
      </c>
      <c r="K70" s="59">
        <f t="shared" si="33"/>
        <v>4144.2455681818192</v>
      </c>
      <c r="L70" s="59">
        <f t="shared" si="33"/>
        <v>4147.9957629870114</v>
      </c>
      <c r="M70" s="59">
        <f t="shared" si="33"/>
        <v>4070.8052922077927</v>
      </c>
      <c r="N70" s="59">
        <f t="shared" si="33"/>
        <v>4091.4303246753234</v>
      </c>
      <c r="O70" s="59">
        <f t="shared" si="33"/>
        <v>3715.4743344155854</v>
      </c>
      <c r="P70" s="59">
        <f t="shared" si="33"/>
        <v>3905.0143912337671</v>
      </c>
      <c r="Q70" s="69">
        <f>SUM(E70:P70)</f>
        <v>46336.090243506493</v>
      </c>
    </row>
    <row r="71" spans="2:17">
      <c r="B71" s="66" t="s">
        <v>160</v>
      </c>
      <c r="E71" s="59">
        <f t="shared" ref="E71:Q71" si="34">E70/E8</f>
        <v>119.36000000000001</v>
      </c>
      <c r="F71" s="59">
        <f t="shared" si="34"/>
        <v>124.49761566558439</v>
      </c>
      <c r="G71" s="59">
        <f t="shared" si="34"/>
        <v>120.64030844155846</v>
      </c>
      <c r="H71" s="59">
        <f t="shared" si="34"/>
        <v>108.3952167207792</v>
      </c>
      <c r="I71" s="59">
        <f t="shared" si="34"/>
        <v>129.41092532467533</v>
      </c>
      <c r="J71" s="59">
        <f t="shared" si="34"/>
        <v>135.71955275974022</v>
      </c>
      <c r="K71" s="59">
        <f t="shared" si="34"/>
        <v>133.68534090909094</v>
      </c>
      <c r="L71" s="59">
        <f t="shared" si="34"/>
        <v>133.80631493506488</v>
      </c>
      <c r="M71" s="59">
        <f t="shared" si="34"/>
        <v>135.69350974025977</v>
      </c>
      <c r="N71" s="59">
        <f t="shared" si="34"/>
        <v>131.98162337662333</v>
      </c>
      <c r="O71" s="59">
        <f t="shared" si="34"/>
        <v>123.84914448051951</v>
      </c>
      <c r="P71" s="59">
        <f t="shared" si="34"/>
        <v>125.9682061688312</v>
      </c>
      <c r="Q71" s="69">
        <f t="shared" si="34"/>
        <v>126.948192447963</v>
      </c>
    </row>
    <row r="72" spans="2:17">
      <c r="B72" s="66" t="s">
        <v>161</v>
      </c>
      <c r="E72" s="463">
        <f>E71/$D$60</f>
        <v>1.1936000000000002</v>
      </c>
      <c r="F72" s="463">
        <f>F71/$D$60</f>
        <v>1.2449761566558439</v>
      </c>
      <c r="G72" s="463">
        <f t="shared" ref="G72:Q72" si="35">G71/$D$60</f>
        <v>1.2064030844155846</v>
      </c>
      <c r="H72" s="463">
        <f t="shared" si="35"/>
        <v>1.0839521672077921</v>
      </c>
      <c r="I72" s="463">
        <f t="shared" si="35"/>
        <v>1.2941092532467533</v>
      </c>
      <c r="J72" s="463">
        <f t="shared" si="35"/>
        <v>1.3571955275974021</v>
      </c>
      <c r="K72" s="463">
        <f t="shared" si="35"/>
        <v>1.3368534090909094</v>
      </c>
      <c r="L72" s="463">
        <f t="shared" si="35"/>
        <v>1.3380631493506487</v>
      </c>
      <c r="M72" s="463">
        <f t="shared" si="35"/>
        <v>1.3569350974025978</v>
      </c>
      <c r="N72" s="463">
        <f t="shared" si="35"/>
        <v>1.3198162337662334</v>
      </c>
      <c r="O72" s="463">
        <f t="shared" si="35"/>
        <v>1.2384914448051951</v>
      </c>
      <c r="P72" s="463">
        <f t="shared" si="35"/>
        <v>1.259682061688312</v>
      </c>
      <c r="Q72" s="464">
        <f t="shared" si="35"/>
        <v>1.26948192447963</v>
      </c>
    </row>
    <row r="73" spans="2:17">
      <c r="B73" s="66" t="s">
        <v>162</v>
      </c>
      <c r="E73" s="59">
        <f t="shared" ref="E73:Q73" si="36">IFERROR(E74/E70,0)</f>
        <v>5999.9999999999991</v>
      </c>
      <c r="F73" s="59">
        <f t="shared" si="36"/>
        <v>6000</v>
      </c>
      <c r="G73" s="59">
        <f t="shared" si="36"/>
        <v>6000</v>
      </c>
      <c r="H73" s="59">
        <f t="shared" si="36"/>
        <v>6000</v>
      </c>
      <c r="I73" s="59">
        <f t="shared" si="36"/>
        <v>6000</v>
      </c>
      <c r="J73" s="59">
        <f t="shared" si="36"/>
        <v>6000</v>
      </c>
      <c r="K73" s="59">
        <f t="shared" si="36"/>
        <v>6000</v>
      </c>
      <c r="L73" s="59">
        <f t="shared" si="36"/>
        <v>5999.9999999999991</v>
      </c>
      <c r="M73" s="59">
        <f t="shared" si="36"/>
        <v>6000</v>
      </c>
      <c r="N73" s="59">
        <f t="shared" si="36"/>
        <v>6000</v>
      </c>
      <c r="O73" s="59">
        <f t="shared" si="36"/>
        <v>6000</v>
      </c>
      <c r="P73" s="59">
        <f t="shared" si="36"/>
        <v>6000</v>
      </c>
      <c r="Q73" s="69">
        <f t="shared" si="36"/>
        <v>6000</v>
      </c>
    </row>
    <row r="74" spans="2:17">
      <c r="B74" s="72" t="s">
        <v>163</v>
      </c>
      <c r="C74" s="89"/>
      <c r="D74" s="89"/>
      <c r="E74" s="73">
        <f>E64+E68</f>
        <v>22200960</v>
      </c>
      <c r="F74" s="73">
        <f t="shared" ref="F74:P74" si="37">F64+F68</f>
        <v>20915599.43181818</v>
      </c>
      <c r="G74" s="73">
        <f t="shared" si="37"/>
        <v>22439097.370129876</v>
      </c>
      <c r="H74" s="73">
        <f t="shared" si="37"/>
        <v>19511139.009740256</v>
      </c>
      <c r="I74" s="73">
        <f t="shared" si="37"/>
        <v>24070432.110389613</v>
      </c>
      <c r="J74" s="73">
        <f t="shared" si="37"/>
        <v>24429519.496753238</v>
      </c>
      <c r="K74" s="73">
        <f t="shared" si="37"/>
        <v>24865473.409090914</v>
      </c>
      <c r="L74" s="73">
        <f t="shared" si="37"/>
        <v>24887974.577922065</v>
      </c>
      <c r="M74" s="73">
        <f t="shared" si="37"/>
        <v>24424831.753246758</v>
      </c>
      <c r="N74" s="73">
        <f t="shared" si="37"/>
        <v>24548581.948051941</v>
      </c>
      <c r="O74" s="73">
        <f t="shared" si="37"/>
        <v>22292846.006493513</v>
      </c>
      <c r="P74" s="73">
        <f t="shared" si="37"/>
        <v>23430086.347402602</v>
      </c>
      <c r="Q74" s="75">
        <f>SUM(E74:P74)</f>
        <v>278016541.46103895</v>
      </c>
    </row>
    <row r="75" spans="2:17">
      <c r="B75" s="58"/>
      <c r="C75" s="58"/>
    </row>
    <row r="76" spans="2:17">
      <c r="B76" s="58"/>
      <c r="C76" s="58"/>
    </row>
    <row r="77" spans="2:17" hidden="1">
      <c r="B77" s="341" t="s">
        <v>165</v>
      </c>
      <c r="C77" s="389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342"/>
    </row>
    <row r="78" spans="2:17" hidden="1">
      <c r="B78" s="66"/>
      <c r="Q78" s="71"/>
    </row>
    <row r="79" spans="2:17" hidden="1">
      <c r="B79" s="66" t="s">
        <v>152</v>
      </c>
      <c r="D79" s="458">
        <f>D22</f>
        <v>100</v>
      </c>
      <c r="Q79" s="71"/>
    </row>
    <row r="80" spans="2:17" hidden="1">
      <c r="B80" s="356"/>
      <c r="C80" s="58"/>
      <c r="Q80" s="71"/>
    </row>
    <row r="81" spans="2:17" hidden="1">
      <c r="B81" s="66" t="s">
        <v>153</v>
      </c>
      <c r="D81" s="461">
        <v>0</v>
      </c>
      <c r="E81" s="463">
        <f t="shared" ref="E81:P81" si="38">$D81*E14</f>
        <v>0</v>
      </c>
      <c r="F81" s="463">
        <f t="shared" si="38"/>
        <v>0</v>
      </c>
      <c r="G81" s="463">
        <f t="shared" si="38"/>
        <v>0</v>
      </c>
      <c r="H81" s="463">
        <f t="shared" si="38"/>
        <v>0</v>
      </c>
      <c r="I81" s="463">
        <f t="shared" si="38"/>
        <v>0</v>
      </c>
      <c r="J81" s="463">
        <f t="shared" si="38"/>
        <v>0</v>
      </c>
      <c r="K81" s="463">
        <f t="shared" si="38"/>
        <v>0</v>
      </c>
      <c r="L81" s="463">
        <f t="shared" si="38"/>
        <v>0</v>
      </c>
      <c r="M81" s="463">
        <f t="shared" si="38"/>
        <v>0</v>
      </c>
      <c r="N81" s="463">
        <f t="shared" si="38"/>
        <v>0</v>
      </c>
      <c r="O81" s="463">
        <f t="shared" si="38"/>
        <v>0</v>
      </c>
      <c r="P81" s="463">
        <f t="shared" si="38"/>
        <v>0</v>
      </c>
      <c r="Q81" s="69">
        <f>SUM(E81:P81)</f>
        <v>0</v>
      </c>
    </row>
    <row r="82" spans="2:17" hidden="1">
      <c r="B82" s="66" t="s">
        <v>154</v>
      </c>
      <c r="D82" s="461"/>
      <c r="E82" s="59">
        <f t="shared" ref="E82:Q82" si="39">E81/E8</f>
        <v>0</v>
      </c>
      <c r="F82" s="59">
        <f t="shared" si="39"/>
        <v>0</v>
      </c>
      <c r="G82" s="59">
        <f t="shared" si="39"/>
        <v>0</v>
      </c>
      <c r="H82" s="59">
        <f t="shared" si="39"/>
        <v>0</v>
      </c>
      <c r="I82" s="59">
        <f t="shared" si="39"/>
        <v>0</v>
      </c>
      <c r="J82" s="59">
        <f t="shared" si="39"/>
        <v>0</v>
      </c>
      <c r="K82" s="59">
        <f t="shared" si="39"/>
        <v>0</v>
      </c>
      <c r="L82" s="59">
        <f t="shared" si="39"/>
        <v>0</v>
      </c>
      <c r="M82" s="59">
        <f t="shared" si="39"/>
        <v>0</v>
      </c>
      <c r="N82" s="59">
        <f t="shared" si="39"/>
        <v>0</v>
      </c>
      <c r="O82" s="59">
        <f t="shared" si="39"/>
        <v>0</v>
      </c>
      <c r="P82" s="59">
        <f t="shared" si="39"/>
        <v>0</v>
      </c>
      <c r="Q82" s="69">
        <f t="shared" si="39"/>
        <v>0</v>
      </c>
    </row>
    <row r="83" spans="2:17" hidden="1">
      <c r="B83" s="66" t="s">
        <v>155</v>
      </c>
      <c r="D83" s="458">
        <v>0</v>
      </c>
      <c r="E83" s="59">
        <f>$D83*E81</f>
        <v>0</v>
      </c>
      <c r="F83" s="59">
        <f>$D83*F81</f>
        <v>0</v>
      </c>
      <c r="G83" s="59">
        <f t="shared" ref="G83:P83" si="40">$D83*G81</f>
        <v>0</v>
      </c>
      <c r="H83" s="59">
        <f t="shared" si="40"/>
        <v>0</v>
      </c>
      <c r="I83" s="59">
        <f t="shared" si="40"/>
        <v>0</v>
      </c>
      <c r="J83" s="59">
        <f t="shared" si="40"/>
        <v>0</v>
      </c>
      <c r="K83" s="59">
        <f t="shared" si="40"/>
        <v>0</v>
      </c>
      <c r="L83" s="59">
        <f t="shared" si="40"/>
        <v>0</v>
      </c>
      <c r="M83" s="59">
        <f t="shared" si="40"/>
        <v>0</v>
      </c>
      <c r="N83" s="59">
        <f t="shared" si="40"/>
        <v>0</v>
      </c>
      <c r="O83" s="59">
        <f t="shared" si="40"/>
        <v>0</v>
      </c>
      <c r="P83" s="59">
        <f t="shared" si="40"/>
        <v>0</v>
      </c>
      <c r="Q83" s="69">
        <f>SUM(E83:P83)</f>
        <v>0</v>
      </c>
    </row>
    <row r="84" spans="2:17" hidden="1">
      <c r="B84" s="66"/>
      <c r="D84" s="458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69"/>
    </row>
    <row r="85" spans="2:17" hidden="1">
      <c r="B85" s="66" t="s">
        <v>156</v>
      </c>
      <c r="D85" s="461">
        <v>0</v>
      </c>
      <c r="E85" s="59">
        <f>$D85*$D79*E$8</f>
        <v>0</v>
      </c>
      <c r="F85" s="59">
        <f>$D85*$D79*F$8</f>
        <v>0</v>
      </c>
      <c r="G85" s="59">
        <f>$D85*$D79*G$8</f>
        <v>0</v>
      </c>
      <c r="H85" s="59">
        <f t="shared" ref="H85:P85" si="41">$D85*$D79*H$8</f>
        <v>0</v>
      </c>
      <c r="I85" s="59">
        <f t="shared" si="41"/>
        <v>0</v>
      </c>
      <c r="J85" s="59">
        <f t="shared" si="41"/>
        <v>0</v>
      </c>
      <c r="K85" s="59">
        <f t="shared" si="41"/>
        <v>0</v>
      </c>
      <c r="L85" s="59">
        <f t="shared" si="41"/>
        <v>0</v>
      </c>
      <c r="M85" s="59">
        <f t="shared" si="41"/>
        <v>0</v>
      </c>
      <c r="N85" s="59">
        <f t="shared" si="41"/>
        <v>0</v>
      </c>
      <c r="O85" s="59">
        <f t="shared" si="41"/>
        <v>0</v>
      </c>
      <c r="P85" s="59">
        <f t="shared" si="41"/>
        <v>0</v>
      </c>
      <c r="Q85" s="69">
        <f>SUM(E85:P85)</f>
        <v>0</v>
      </c>
    </row>
    <row r="86" spans="2:17" hidden="1">
      <c r="B86" s="66" t="s">
        <v>157</v>
      </c>
      <c r="D86" s="461"/>
      <c r="E86" s="59">
        <f t="shared" ref="E86:Q86" si="42">E85/E8</f>
        <v>0</v>
      </c>
      <c r="F86" s="59">
        <f t="shared" si="42"/>
        <v>0</v>
      </c>
      <c r="G86" s="59">
        <f t="shared" si="42"/>
        <v>0</v>
      </c>
      <c r="H86" s="59">
        <f t="shared" si="42"/>
        <v>0</v>
      </c>
      <c r="I86" s="59">
        <f t="shared" si="42"/>
        <v>0</v>
      </c>
      <c r="J86" s="59">
        <f t="shared" si="42"/>
        <v>0</v>
      </c>
      <c r="K86" s="59">
        <f t="shared" si="42"/>
        <v>0</v>
      </c>
      <c r="L86" s="59">
        <f t="shared" si="42"/>
        <v>0</v>
      </c>
      <c r="M86" s="59">
        <f t="shared" si="42"/>
        <v>0</v>
      </c>
      <c r="N86" s="59">
        <f t="shared" si="42"/>
        <v>0</v>
      </c>
      <c r="O86" s="59">
        <f t="shared" si="42"/>
        <v>0</v>
      </c>
      <c r="P86" s="59">
        <f t="shared" si="42"/>
        <v>0</v>
      </c>
      <c r="Q86" s="69">
        <f t="shared" si="42"/>
        <v>0</v>
      </c>
    </row>
    <row r="87" spans="2:17" hidden="1">
      <c r="B87" s="66" t="s">
        <v>158</v>
      </c>
      <c r="D87" s="458">
        <f>D83</f>
        <v>0</v>
      </c>
      <c r="E87" s="59">
        <f>$D87*E85</f>
        <v>0</v>
      </c>
      <c r="F87" s="59">
        <f t="shared" ref="F87:P87" si="43">$D87*F85</f>
        <v>0</v>
      </c>
      <c r="G87" s="59">
        <f t="shared" si="43"/>
        <v>0</v>
      </c>
      <c r="H87" s="59">
        <f t="shared" si="43"/>
        <v>0</v>
      </c>
      <c r="I87" s="59">
        <f t="shared" si="43"/>
        <v>0</v>
      </c>
      <c r="J87" s="59">
        <f t="shared" si="43"/>
        <v>0</v>
      </c>
      <c r="K87" s="59">
        <f t="shared" si="43"/>
        <v>0</v>
      </c>
      <c r="L87" s="59">
        <f t="shared" si="43"/>
        <v>0</v>
      </c>
      <c r="M87" s="59">
        <f t="shared" si="43"/>
        <v>0</v>
      </c>
      <c r="N87" s="59">
        <f t="shared" si="43"/>
        <v>0</v>
      </c>
      <c r="O87" s="59">
        <f t="shared" si="43"/>
        <v>0</v>
      </c>
      <c r="P87" s="59">
        <f t="shared" si="43"/>
        <v>0</v>
      </c>
      <c r="Q87" s="69">
        <f>SUM(E87:P87)</f>
        <v>0</v>
      </c>
    </row>
    <row r="88" spans="2:17" hidden="1">
      <c r="B88" s="66"/>
      <c r="D88" s="458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69"/>
    </row>
    <row r="89" spans="2:17" hidden="1">
      <c r="B89" s="66" t="s">
        <v>159</v>
      </c>
      <c r="D89" s="458"/>
      <c r="E89" s="59">
        <f>E81+E85</f>
        <v>0</v>
      </c>
      <c r="F89" s="59">
        <f t="shared" ref="F89:P89" si="44">F81+F85</f>
        <v>0</v>
      </c>
      <c r="G89" s="59">
        <f t="shared" si="44"/>
        <v>0</v>
      </c>
      <c r="H89" s="59">
        <f t="shared" si="44"/>
        <v>0</v>
      </c>
      <c r="I89" s="59">
        <f t="shared" si="44"/>
        <v>0</v>
      </c>
      <c r="J89" s="59">
        <f t="shared" si="44"/>
        <v>0</v>
      </c>
      <c r="K89" s="59">
        <f t="shared" si="44"/>
        <v>0</v>
      </c>
      <c r="L89" s="59">
        <f t="shared" si="44"/>
        <v>0</v>
      </c>
      <c r="M89" s="59">
        <f t="shared" si="44"/>
        <v>0</v>
      </c>
      <c r="N89" s="59">
        <f t="shared" si="44"/>
        <v>0</v>
      </c>
      <c r="O89" s="59">
        <f t="shared" si="44"/>
        <v>0</v>
      </c>
      <c r="P89" s="59">
        <f t="shared" si="44"/>
        <v>0</v>
      </c>
      <c r="Q89" s="69">
        <f>SUM(E89:P89)</f>
        <v>0</v>
      </c>
    </row>
    <row r="90" spans="2:17" hidden="1">
      <c r="B90" s="66" t="s">
        <v>160</v>
      </c>
      <c r="E90" s="59">
        <f t="shared" ref="E90:Q90" si="45">E89/E8</f>
        <v>0</v>
      </c>
      <c r="F90" s="59">
        <f t="shared" si="45"/>
        <v>0</v>
      </c>
      <c r="G90" s="59">
        <f t="shared" si="45"/>
        <v>0</v>
      </c>
      <c r="H90" s="59">
        <f t="shared" si="45"/>
        <v>0</v>
      </c>
      <c r="I90" s="59">
        <f t="shared" si="45"/>
        <v>0</v>
      </c>
      <c r="J90" s="59">
        <f t="shared" si="45"/>
        <v>0</v>
      </c>
      <c r="K90" s="59">
        <f t="shared" si="45"/>
        <v>0</v>
      </c>
      <c r="L90" s="59">
        <f t="shared" si="45"/>
        <v>0</v>
      </c>
      <c r="M90" s="59">
        <f t="shared" si="45"/>
        <v>0</v>
      </c>
      <c r="N90" s="59">
        <f t="shared" si="45"/>
        <v>0</v>
      </c>
      <c r="O90" s="59">
        <f t="shared" si="45"/>
        <v>0</v>
      </c>
      <c r="P90" s="59">
        <f t="shared" si="45"/>
        <v>0</v>
      </c>
      <c r="Q90" s="69">
        <f t="shared" si="45"/>
        <v>0</v>
      </c>
    </row>
    <row r="91" spans="2:17" hidden="1">
      <c r="B91" s="66" t="s">
        <v>161</v>
      </c>
      <c r="E91" s="463">
        <f>E90/$D$79</f>
        <v>0</v>
      </c>
      <c r="F91" s="463">
        <f t="shared" ref="F91:Q91" si="46">F90/$D$79</f>
        <v>0</v>
      </c>
      <c r="G91" s="463">
        <f t="shared" si="46"/>
        <v>0</v>
      </c>
      <c r="H91" s="463">
        <f t="shared" si="46"/>
        <v>0</v>
      </c>
      <c r="I91" s="463">
        <f t="shared" si="46"/>
        <v>0</v>
      </c>
      <c r="J91" s="463">
        <f t="shared" si="46"/>
        <v>0</v>
      </c>
      <c r="K91" s="463">
        <f t="shared" si="46"/>
        <v>0</v>
      </c>
      <c r="L91" s="463">
        <f t="shared" si="46"/>
        <v>0</v>
      </c>
      <c r="M91" s="463">
        <f t="shared" si="46"/>
        <v>0</v>
      </c>
      <c r="N91" s="463">
        <f t="shared" si="46"/>
        <v>0</v>
      </c>
      <c r="O91" s="463">
        <f t="shared" si="46"/>
        <v>0</v>
      </c>
      <c r="P91" s="463">
        <f t="shared" si="46"/>
        <v>0</v>
      </c>
      <c r="Q91" s="464">
        <f t="shared" si="46"/>
        <v>0</v>
      </c>
    </row>
    <row r="92" spans="2:17" hidden="1">
      <c r="B92" s="66" t="s">
        <v>166</v>
      </c>
      <c r="E92" s="59" t="e">
        <f>E93/E89</f>
        <v>#DIV/0!</v>
      </c>
      <c r="F92" s="59" t="e">
        <f t="shared" ref="F92:Q92" si="47">F93/F89</f>
        <v>#DIV/0!</v>
      </c>
      <c r="G92" s="59" t="e">
        <f t="shared" si="47"/>
        <v>#DIV/0!</v>
      </c>
      <c r="H92" s="59" t="e">
        <f t="shared" si="47"/>
        <v>#DIV/0!</v>
      </c>
      <c r="I92" s="59" t="e">
        <f t="shared" si="47"/>
        <v>#DIV/0!</v>
      </c>
      <c r="J92" s="59" t="e">
        <f t="shared" si="47"/>
        <v>#DIV/0!</v>
      </c>
      <c r="K92" s="59" t="e">
        <f t="shared" si="47"/>
        <v>#DIV/0!</v>
      </c>
      <c r="L92" s="59" t="e">
        <f t="shared" si="47"/>
        <v>#DIV/0!</v>
      </c>
      <c r="M92" s="59" t="e">
        <f t="shared" si="47"/>
        <v>#DIV/0!</v>
      </c>
      <c r="N92" s="59" t="e">
        <f t="shared" si="47"/>
        <v>#DIV/0!</v>
      </c>
      <c r="O92" s="59" t="e">
        <f t="shared" si="47"/>
        <v>#DIV/0!</v>
      </c>
      <c r="P92" s="59" t="e">
        <f t="shared" si="47"/>
        <v>#DIV/0!</v>
      </c>
      <c r="Q92" s="69" t="e">
        <f t="shared" si="47"/>
        <v>#DIV/0!</v>
      </c>
    </row>
    <row r="93" spans="2:17" hidden="1">
      <c r="B93" s="72" t="s">
        <v>163</v>
      </c>
      <c r="C93" s="89"/>
      <c r="D93" s="89"/>
      <c r="E93" s="73">
        <f>E83+E87</f>
        <v>0</v>
      </c>
      <c r="F93" s="73">
        <f t="shared" ref="F93:P93" si="48">F83+F87</f>
        <v>0</v>
      </c>
      <c r="G93" s="73">
        <f t="shared" si="48"/>
        <v>0</v>
      </c>
      <c r="H93" s="73">
        <f t="shared" si="48"/>
        <v>0</v>
      </c>
      <c r="I93" s="73">
        <f t="shared" si="48"/>
        <v>0</v>
      </c>
      <c r="J93" s="73">
        <f t="shared" si="48"/>
        <v>0</v>
      </c>
      <c r="K93" s="73">
        <f t="shared" si="48"/>
        <v>0</v>
      </c>
      <c r="L93" s="73">
        <f t="shared" si="48"/>
        <v>0</v>
      </c>
      <c r="M93" s="73">
        <f t="shared" si="48"/>
        <v>0</v>
      </c>
      <c r="N93" s="73">
        <f t="shared" si="48"/>
        <v>0</v>
      </c>
      <c r="O93" s="73">
        <f t="shared" si="48"/>
        <v>0</v>
      </c>
      <c r="P93" s="73">
        <f t="shared" si="48"/>
        <v>0</v>
      </c>
      <c r="Q93" s="75">
        <f>SUM(E93:P93)</f>
        <v>0</v>
      </c>
    </row>
    <row r="94" spans="2:17" hidden="1"/>
    <row r="95" spans="2:17" hidden="1"/>
    <row r="96" spans="2:17">
      <c r="B96" s="341" t="s">
        <v>39</v>
      </c>
      <c r="C96" s="389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342"/>
    </row>
    <row r="97" spans="2:20">
      <c r="B97" s="66" t="s">
        <v>167</v>
      </c>
      <c r="E97" s="131">
        <f t="shared" ref="E97:P97" si="49">E36</f>
        <v>15400800.000000002</v>
      </c>
      <c r="F97" s="131">
        <f t="shared" si="49"/>
        <v>14629666.193181816</v>
      </c>
      <c r="G97" s="131">
        <f t="shared" si="49"/>
        <v>15599247.808441561</v>
      </c>
      <c r="H97" s="131">
        <f t="shared" si="49"/>
        <v>13259282.50811688</v>
      </c>
      <c r="I97" s="131">
        <f t="shared" si="49"/>
        <v>16958693.425324678</v>
      </c>
      <c r="J97" s="131">
        <f t="shared" si="49"/>
        <v>17357932.913961034</v>
      </c>
      <c r="K97" s="131">
        <f t="shared" si="49"/>
        <v>17621227.840909097</v>
      </c>
      <c r="L97" s="131">
        <f t="shared" si="49"/>
        <v>17639978.814935055</v>
      </c>
      <c r="M97" s="131">
        <f t="shared" si="49"/>
        <v>17354026.461038966</v>
      </c>
      <c r="N97" s="131">
        <f t="shared" si="49"/>
        <v>17357151.623376619</v>
      </c>
      <c r="O97" s="131">
        <f t="shared" si="49"/>
        <v>15577371.672077928</v>
      </c>
      <c r="P97" s="131">
        <f t="shared" si="49"/>
        <v>16425071.956168836</v>
      </c>
      <c r="Q97" s="69">
        <f t="shared" ref="Q97:Q100" si="50">SUM(E97:P97)</f>
        <v>195180451.21753246</v>
      </c>
    </row>
    <row r="98" spans="2:20">
      <c r="B98" s="66" t="s">
        <v>168</v>
      </c>
      <c r="E98" s="131">
        <f>E55</f>
        <v>8050080</v>
      </c>
      <c r="F98" s="131">
        <f t="shared" ref="F98:Q98" si="51">F55</f>
        <v>7342966.6193181816</v>
      </c>
      <c r="G98" s="131">
        <f t="shared" si="51"/>
        <v>8069924.7808441557</v>
      </c>
      <c r="H98" s="131">
        <f t="shared" si="51"/>
        <v>7625928.2508116886</v>
      </c>
      <c r="I98" s="131">
        <f t="shared" si="51"/>
        <v>8205869.342532468</v>
      </c>
      <c r="J98" s="131">
        <f t="shared" si="51"/>
        <v>8035793.2913961029</v>
      </c>
      <c r="K98" s="131">
        <f t="shared" si="51"/>
        <v>8272122.7840909101</v>
      </c>
      <c r="L98" s="131">
        <f t="shared" si="51"/>
        <v>8273997.8814935051</v>
      </c>
      <c r="M98" s="131">
        <f t="shared" si="51"/>
        <v>8035402.6461038962</v>
      </c>
      <c r="N98" s="131">
        <f t="shared" si="51"/>
        <v>8245715.1623376617</v>
      </c>
      <c r="O98" s="131">
        <f t="shared" si="51"/>
        <v>7857737.1672077924</v>
      </c>
      <c r="P98" s="131">
        <f t="shared" si="51"/>
        <v>8152507.1956168832</v>
      </c>
      <c r="Q98" s="132">
        <f t="shared" si="51"/>
        <v>96168045.121753246</v>
      </c>
    </row>
    <row r="99" spans="2:20">
      <c r="B99" s="66" t="s">
        <v>169</v>
      </c>
      <c r="E99" s="131">
        <f>E74</f>
        <v>22200960</v>
      </c>
      <c r="F99" s="131">
        <f>F74</f>
        <v>20915599.43181818</v>
      </c>
      <c r="G99" s="131">
        <f t="shared" ref="G99:P99" si="52">G74</f>
        <v>22439097.370129876</v>
      </c>
      <c r="H99" s="131">
        <f t="shared" si="52"/>
        <v>19511139.009740256</v>
      </c>
      <c r="I99" s="131">
        <f t="shared" si="52"/>
        <v>24070432.110389613</v>
      </c>
      <c r="J99" s="131">
        <f t="shared" si="52"/>
        <v>24429519.496753238</v>
      </c>
      <c r="K99" s="131">
        <f t="shared" si="52"/>
        <v>24865473.409090914</v>
      </c>
      <c r="L99" s="131">
        <f t="shared" si="52"/>
        <v>24887974.577922065</v>
      </c>
      <c r="M99" s="131">
        <f t="shared" si="52"/>
        <v>24424831.753246758</v>
      </c>
      <c r="N99" s="131">
        <f t="shared" si="52"/>
        <v>24548581.948051941</v>
      </c>
      <c r="O99" s="131">
        <f t="shared" si="52"/>
        <v>22292846.006493513</v>
      </c>
      <c r="P99" s="131">
        <f t="shared" si="52"/>
        <v>23430086.347402602</v>
      </c>
      <c r="Q99" s="69">
        <f t="shared" si="50"/>
        <v>278016541.46103895</v>
      </c>
    </row>
    <row r="100" spans="2:20">
      <c r="B100" s="360" t="s">
        <v>16</v>
      </c>
      <c r="C100" s="363"/>
      <c r="D100" s="363"/>
      <c r="E100" s="362">
        <f t="shared" ref="E100:P100" si="53">SUM(E97:E99)</f>
        <v>45651840</v>
      </c>
      <c r="F100" s="362">
        <f t="shared" si="53"/>
        <v>42888232.24431818</v>
      </c>
      <c r="G100" s="362">
        <f t="shared" si="53"/>
        <v>46108269.959415592</v>
      </c>
      <c r="H100" s="362">
        <f t="shared" si="53"/>
        <v>40396349.768668823</v>
      </c>
      <c r="I100" s="362">
        <f t="shared" si="53"/>
        <v>49234994.878246754</v>
      </c>
      <c r="J100" s="362">
        <f t="shared" si="53"/>
        <v>49823245.70211038</v>
      </c>
      <c r="K100" s="362">
        <f t="shared" si="53"/>
        <v>50758824.034090921</v>
      </c>
      <c r="L100" s="362">
        <f t="shared" si="53"/>
        <v>50801951.274350628</v>
      </c>
      <c r="M100" s="362">
        <f t="shared" si="53"/>
        <v>49814260.86038962</v>
      </c>
      <c r="N100" s="362">
        <f t="shared" si="53"/>
        <v>50151448.733766221</v>
      </c>
      <c r="O100" s="362">
        <f t="shared" si="53"/>
        <v>45727954.845779233</v>
      </c>
      <c r="P100" s="362">
        <f t="shared" si="53"/>
        <v>48007665.499188319</v>
      </c>
      <c r="Q100" s="82">
        <f t="shared" si="50"/>
        <v>569365037.8003248</v>
      </c>
    </row>
    <row r="103" spans="2:20">
      <c r="B103" s="341" t="s">
        <v>170</v>
      </c>
      <c r="C103" s="389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342"/>
    </row>
    <row r="104" spans="2:20">
      <c r="B104" s="66" t="s">
        <v>167</v>
      </c>
      <c r="E104" s="131">
        <f t="shared" ref="E104:Q104" si="54">E33</f>
        <v>165.60000000000002</v>
      </c>
      <c r="F104" s="131">
        <f t="shared" si="54"/>
        <v>174.16269277597399</v>
      </c>
      <c r="G104" s="131">
        <f t="shared" si="54"/>
        <v>167.73384740259743</v>
      </c>
      <c r="H104" s="131">
        <f t="shared" si="54"/>
        <v>147.32536120129868</v>
      </c>
      <c r="I104" s="131">
        <f t="shared" si="54"/>
        <v>182.35154220779225</v>
      </c>
      <c r="J104" s="131">
        <f t="shared" si="54"/>
        <v>192.8659212662337</v>
      </c>
      <c r="K104" s="131">
        <f t="shared" si="54"/>
        <v>189.47556818181823</v>
      </c>
      <c r="L104" s="131">
        <f t="shared" si="54"/>
        <v>189.67719155844145</v>
      </c>
      <c r="M104" s="131">
        <f t="shared" si="54"/>
        <v>192.82251623376627</v>
      </c>
      <c r="N104" s="131">
        <f t="shared" si="54"/>
        <v>186.63603896103891</v>
      </c>
      <c r="O104" s="131">
        <f t="shared" si="54"/>
        <v>173.08190746753252</v>
      </c>
      <c r="P104" s="131">
        <f t="shared" si="54"/>
        <v>176.61367694805199</v>
      </c>
      <c r="Q104" s="69">
        <f t="shared" si="54"/>
        <v>178.24698741327165</v>
      </c>
    </row>
    <row r="105" spans="2:20">
      <c r="B105" s="66" t="s">
        <v>168</v>
      </c>
      <c r="E105" s="131">
        <f>E52</f>
        <v>86.56</v>
      </c>
      <c r="F105" s="131">
        <f t="shared" ref="F105:Q105" si="55">F52</f>
        <v>87.416269277597394</v>
      </c>
      <c r="G105" s="131">
        <f t="shared" si="55"/>
        <v>86.773384740259743</v>
      </c>
      <c r="H105" s="131">
        <f t="shared" si="55"/>
        <v>84.732536120129865</v>
      </c>
      <c r="I105" s="131">
        <f t="shared" si="55"/>
        <v>88.235154220779222</v>
      </c>
      <c r="J105" s="131">
        <f t="shared" si="55"/>
        <v>89.286592126623376</v>
      </c>
      <c r="K105" s="131">
        <f t="shared" si="55"/>
        <v>88.947556818181837</v>
      </c>
      <c r="L105" s="131">
        <f t="shared" si="55"/>
        <v>88.967719155844136</v>
      </c>
      <c r="M105" s="131">
        <f t="shared" si="55"/>
        <v>89.282251623376624</v>
      </c>
      <c r="N105" s="131">
        <f t="shared" si="55"/>
        <v>88.663603896103879</v>
      </c>
      <c r="O105" s="131">
        <f t="shared" si="55"/>
        <v>87.308190746753255</v>
      </c>
      <c r="P105" s="131">
        <f t="shared" si="55"/>
        <v>87.661367694805193</v>
      </c>
      <c r="Q105" s="132">
        <f t="shared" si="55"/>
        <v>87.824698741327168</v>
      </c>
    </row>
    <row r="106" spans="2:20">
      <c r="B106" s="66" t="s">
        <v>169</v>
      </c>
      <c r="E106" s="131">
        <f t="shared" ref="E106:Q106" si="56">E71</f>
        <v>119.36000000000001</v>
      </c>
      <c r="F106" s="131">
        <f t="shared" si="56"/>
        <v>124.49761566558439</v>
      </c>
      <c r="G106" s="131">
        <f t="shared" si="56"/>
        <v>120.64030844155846</v>
      </c>
      <c r="H106" s="131">
        <f t="shared" si="56"/>
        <v>108.3952167207792</v>
      </c>
      <c r="I106" s="131">
        <f t="shared" si="56"/>
        <v>129.41092532467533</v>
      </c>
      <c r="J106" s="131">
        <f t="shared" si="56"/>
        <v>135.71955275974022</v>
      </c>
      <c r="K106" s="131">
        <f t="shared" si="56"/>
        <v>133.68534090909094</v>
      </c>
      <c r="L106" s="131">
        <f t="shared" si="56"/>
        <v>133.80631493506488</v>
      </c>
      <c r="M106" s="131">
        <f t="shared" si="56"/>
        <v>135.69350974025977</v>
      </c>
      <c r="N106" s="131">
        <f t="shared" si="56"/>
        <v>131.98162337662333</v>
      </c>
      <c r="O106" s="131">
        <f t="shared" si="56"/>
        <v>123.84914448051951</v>
      </c>
      <c r="P106" s="131">
        <f t="shared" si="56"/>
        <v>125.9682061688312</v>
      </c>
      <c r="Q106" s="69">
        <f t="shared" si="56"/>
        <v>126.948192447963</v>
      </c>
    </row>
    <row r="107" spans="2:20">
      <c r="B107" s="360" t="s">
        <v>16</v>
      </c>
      <c r="C107" s="363"/>
      <c r="D107" s="363"/>
      <c r="E107" s="362">
        <f t="shared" ref="E107:Q107" si="57">SUM(E104:E106)</f>
        <v>371.52000000000004</v>
      </c>
      <c r="F107" s="362">
        <f t="shared" si="57"/>
        <v>386.07657771915581</v>
      </c>
      <c r="G107" s="362">
        <f t="shared" si="57"/>
        <v>375.14754058441565</v>
      </c>
      <c r="H107" s="362">
        <f t="shared" si="57"/>
        <v>340.45311404220774</v>
      </c>
      <c r="I107" s="362">
        <f t="shared" si="57"/>
        <v>399.99762175324679</v>
      </c>
      <c r="J107" s="362">
        <f t="shared" si="57"/>
        <v>417.87206615259731</v>
      </c>
      <c r="K107" s="362">
        <f t="shared" si="57"/>
        <v>412.10846590909102</v>
      </c>
      <c r="L107" s="362">
        <f t="shared" si="57"/>
        <v>412.45122564935048</v>
      </c>
      <c r="M107" s="362">
        <f t="shared" si="57"/>
        <v>417.7982775974026</v>
      </c>
      <c r="N107" s="362">
        <f t="shared" si="57"/>
        <v>407.28126623376613</v>
      </c>
      <c r="O107" s="362">
        <f t="shared" si="57"/>
        <v>384.23924269480528</v>
      </c>
      <c r="P107" s="362">
        <f t="shared" si="57"/>
        <v>390.24325081168843</v>
      </c>
      <c r="Q107" s="82">
        <f t="shared" si="57"/>
        <v>393.01987860256179</v>
      </c>
    </row>
    <row r="108" spans="2:20"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</row>
    <row r="109" spans="2:20">
      <c r="S109" s="84" t="s">
        <v>171</v>
      </c>
      <c r="T109" s="84" t="s">
        <v>172</v>
      </c>
    </row>
    <row r="110" spans="2:20">
      <c r="B110" s="341" t="s">
        <v>173</v>
      </c>
      <c r="C110" s="389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342"/>
      <c r="S110" s="84" t="s">
        <v>174</v>
      </c>
    </row>
    <row r="111" spans="2:20">
      <c r="B111" s="66" t="s">
        <v>167</v>
      </c>
      <c r="E111" s="131">
        <f t="shared" ref="E111:P111" si="58">E32</f>
        <v>5133.6000000000004</v>
      </c>
      <c r="F111" s="131">
        <f t="shared" si="58"/>
        <v>4876.5553977272721</v>
      </c>
      <c r="G111" s="131">
        <f t="shared" si="58"/>
        <v>5199.7492694805205</v>
      </c>
      <c r="H111" s="131">
        <f t="shared" si="58"/>
        <v>4419.7608360389604</v>
      </c>
      <c r="I111" s="131">
        <f t="shared" si="58"/>
        <v>5652.8978084415594</v>
      </c>
      <c r="J111" s="131">
        <f t="shared" si="58"/>
        <v>5785.9776379870109</v>
      </c>
      <c r="K111" s="131">
        <f t="shared" si="58"/>
        <v>5873.7426136363656</v>
      </c>
      <c r="L111" s="131">
        <f t="shared" si="58"/>
        <v>5879.9929383116851</v>
      </c>
      <c r="M111" s="131">
        <f t="shared" si="58"/>
        <v>5784.675487012988</v>
      </c>
      <c r="N111" s="131">
        <f t="shared" si="58"/>
        <v>5785.717207792206</v>
      </c>
      <c r="O111" s="131">
        <f t="shared" si="58"/>
        <v>5192.4572240259758</v>
      </c>
      <c r="P111" s="131">
        <f t="shared" si="58"/>
        <v>5475.0239853896119</v>
      </c>
      <c r="Q111" s="69">
        <f>SUM(E111:P111)</f>
        <v>65060.15040584415</v>
      </c>
      <c r="S111" s="136">
        <f>IFERROR(Q97/Q111,0)</f>
        <v>3000</v>
      </c>
      <c r="T111" s="70">
        <f>D24</f>
        <v>0.5</v>
      </c>
    </row>
    <row r="112" spans="2:20">
      <c r="B112" s="66" t="s">
        <v>168</v>
      </c>
      <c r="E112" s="131">
        <f>E51</f>
        <v>2683.36</v>
      </c>
      <c r="F112" s="131">
        <f t="shared" ref="F112:Q112" si="59">F51</f>
        <v>2447.655539772727</v>
      </c>
      <c r="G112" s="131">
        <f t="shared" si="59"/>
        <v>2689.9749269480521</v>
      </c>
      <c r="H112" s="131">
        <f t="shared" si="59"/>
        <v>2541.9760836038959</v>
      </c>
      <c r="I112" s="131">
        <f t="shared" si="59"/>
        <v>2735.2897808441558</v>
      </c>
      <c r="J112" s="131">
        <f t="shared" si="59"/>
        <v>2678.5977637987012</v>
      </c>
      <c r="K112" s="131">
        <f t="shared" si="59"/>
        <v>2757.3742613636368</v>
      </c>
      <c r="L112" s="131">
        <f t="shared" si="59"/>
        <v>2757.9992938311684</v>
      </c>
      <c r="M112" s="131">
        <f t="shared" si="59"/>
        <v>2678.4675487012987</v>
      </c>
      <c r="N112" s="131">
        <f t="shared" si="59"/>
        <v>2748.5717207792204</v>
      </c>
      <c r="O112" s="131">
        <f t="shared" si="59"/>
        <v>2619.2457224025975</v>
      </c>
      <c r="P112" s="131">
        <f t="shared" si="59"/>
        <v>2717.5023985389612</v>
      </c>
      <c r="Q112" s="132">
        <f t="shared" si="59"/>
        <v>32056.015040584418</v>
      </c>
      <c r="S112" s="136">
        <f>IFERROR(Q98/Q112,0)</f>
        <v>2999.9999999999995</v>
      </c>
      <c r="T112" s="70">
        <f>D43</f>
        <v>0.05</v>
      </c>
    </row>
    <row r="113" spans="2:20">
      <c r="B113" s="66" t="s">
        <v>169</v>
      </c>
      <c r="E113" s="131">
        <f t="shared" ref="E113:P113" si="60">E70</f>
        <v>3700.1600000000003</v>
      </c>
      <c r="F113" s="131">
        <f t="shared" si="60"/>
        <v>3485.9332386363631</v>
      </c>
      <c r="G113" s="131">
        <f t="shared" si="60"/>
        <v>3739.8495616883124</v>
      </c>
      <c r="H113" s="131">
        <f t="shared" si="60"/>
        <v>3251.8565016233761</v>
      </c>
      <c r="I113" s="131">
        <f t="shared" si="60"/>
        <v>4011.7386850649355</v>
      </c>
      <c r="J113" s="131">
        <f t="shared" si="60"/>
        <v>4071.5865827922066</v>
      </c>
      <c r="K113" s="131">
        <f t="shared" si="60"/>
        <v>4144.2455681818192</v>
      </c>
      <c r="L113" s="131">
        <f t="shared" si="60"/>
        <v>4147.9957629870114</v>
      </c>
      <c r="M113" s="131">
        <f t="shared" si="60"/>
        <v>4070.8052922077927</v>
      </c>
      <c r="N113" s="131">
        <f t="shared" si="60"/>
        <v>4091.4303246753234</v>
      </c>
      <c r="O113" s="131">
        <f t="shared" si="60"/>
        <v>3715.4743344155854</v>
      </c>
      <c r="P113" s="131">
        <f t="shared" si="60"/>
        <v>3905.0143912337671</v>
      </c>
      <c r="Q113" s="69">
        <f>SUM(E113:P113)</f>
        <v>46336.090243506493</v>
      </c>
      <c r="S113" s="136">
        <f>IFERROR(Q99/Q113,0)</f>
        <v>6000</v>
      </c>
      <c r="T113" s="70">
        <f>D62</f>
        <v>0.3</v>
      </c>
    </row>
    <row r="114" spans="2:20">
      <c r="B114" s="360" t="s">
        <v>16</v>
      </c>
      <c r="C114" s="363"/>
      <c r="D114" s="363"/>
      <c r="E114" s="362">
        <f t="shared" ref="E114:P114" si="61">SUM(E111:E113)</f>
        <v>11517.12</v>
      </c>
      <c r="F114" s="362">
        <f t="shared" si="61"/>
        <v>10810.144176136362</v>
      </c>
      <c r="G114" s="362">
        <f t="shared" si="61"/>
        <v>11629.573758116885</v>
      </c>
      <c r="H114" s="362">
        <f t="shared" si="61"/>
        <v>10213.593421266232</v>
      </c>
      <c r="I114" s="362">
        <f t="shared" si="61"/>
        <v>12399.926274350652</v>
      </c>
      <c r="J114" s="362">
        <f t="shared" si="61"/>
        <v>12536.161984577919</v>
      </c>
      <c r="K114" s="362">
        <f t="shared" si="61"/>
        <v>12775.362443181823</v>
      </c>
      <c r="L114" s="362">
        <f t="shared" si="61"/>
        <v>12785.987995129864</v>
      </c>
      <c r="M114" s="362">
        <f t="shared" si="61"/>
        <v>12533.94832792208</v>
      </c>
      <c r="N114" s="362">
        <f t="shared" si="61"/>
        <v>12625.719253246749</v>
      </c>
      <c r="O114" s="362">
        <f t="shared" si="61"/>
        <v>11527.177280844158</v>
      </c>
      <c r="P114" s="362">
        <f t="shared" si="61"/>
        <v>12097.540775162339</v>
      </c>
      <c r="Q114" s="82">
        <f>SUM(E114:P114)</f>
        <v>143452.25568993506</v>
      </c>
      <c r="S114" s="468">
        <f>Q100/Q114</f>
        <v>3969.0211566347139</v>
      </c>
      <c r="T114" s="469">
        <f>Q114/Q14</f>
        <v>1.102458684733145</v>
      </c>
    </row>
    <row r="115" spans="2:20">
      <c r="S115" s="136">
        <f>Q100/Q114</f>
        <v>3969.0211566347139</v>
      </c>
    </row>
    <row r="117" spans="2:20">
      <c r="B117" s="58" t="s">
        <v>89</v>
      </c>
      <c r="C117" s="58"/>
      <c r="D117" s="58"/>
      <c r="E117" s="84" t="s">
        <v>30</v>
      </c>
      <c r="F117" s="84" t="s">
        <v>31</v>
      </c>
      <c r="G117" s="84" t="s">
        <v>32</v>
      </c>
      <c r="H117" s="84" t="s">
        <v>33</v>
      </c>
      <c r="I117" s="84" t="s">
        <v>34</v>
      </c>
      <c r="S117" s="136"/>
    </row>
    <row r="118" spans="2:20">
      <c r="B118" s="62" t="s">
        <v>72</v>
      </c>
      <c r="C118" s="85"/>
      <c r="D118" s="389"/>
      <c r="E118" s="86">
        <f>Rooms!G104</f>
        <v>207</v>
      </c>
      <c r="F118" s="87">
        <f>Rooms!H104</f>
        <v>207</v>
      </c>
      <c r="G118" s="87">
        <f>Rooms!I104</f>
        <v>207</v>
      </c>
      <c r="H118" s="87">
        <f>Rooms!J104</f>
        <v>207</v>
      </c>
      <c r="I118" s="88">
        <f>Rooms!K104</f>
        <v>207</v>
      </c>
    </row>
    <row r="119" spans="2:20">
      <c r="B119" s="72" t="s">
        <v>90</v>
      </c>
      <c r="C119" s="89"/>
      <c r="D119" s="363"/>
      <c r="E119" s="90">
        <f>Rooms!G105</f>
        <v>0.86109655755203696</v>
      </c>
      <c r="F119" s="91">
        <f>Rooms!H105</f>
        <v>0.89109655755203698</v>
      </c>
      <c r="G119" s="91">
        <f>Rooms!I105</f>
        <v>0.92109655755203701</v>
      </c>
      <c r="H119" s="91">
        <f>Rooms!J105</f>
        <v>0.94109655755203703</v>
      </c>
      <c r="I119" s="92">
        <f>Rooms!K105</f>
        <v>0.95609655755203704</v>
      </c>
    </row>
    <row r="121" spans="2:20">
      <c r="F121" s="470"/>
      <c r="G121" s="470"/>
      <c r="H121" s="470"/>
      <c r="I121" s="1"/>
      <c r="J121" s="470"/>
    </row>
    <row r="122" spans="2:20">
      <c r="B122" s="58" t="s">
        <v>92</v>
      </c>
      <c r="C122" s="402"/>
      <c r="D122" s="58"/>
      <c r="E122" s="95" t="s">
        <v>93</v>
      </c>
      <c r="F122" s="95" t="s">
        <v>94</v>
      </c>
      <c r="G122" s="95" t="s">
        <v>95</v>
      </c>
      <c r="H122" s="95" t="s">
        <v>96</v>
      </c>
      <c r="I122" s="95" t="s">
        <v>97</v>
      </c>
      <c r="J122" s="96" t="s">
        <v>98</v>
      </c>
      <c r="K122" s="96" t="s">
        <v>99</v>
      </c>
      <c r="L122" s="96" t="s">
        <v>100</v>
      </c>
      <c r="M122" s="96" t="s">
        <v>101</v>
      </c>
      <c r="O122" s="96" t="s">
        <v>102</v>
      </c>
    </row>
    <row r="123" spans="2:20">
      <c r="B123" s="125" t="s">
        <v>175</v>
      </c>
      <c r="C123" s="403" t="s">
        <v>107</v>
      </c>
      <c r="D123" s="98" t="s">
        <v>116</v>
      </c>
      <c r="E123" s="99">
        <v>500000</v>
      </c>
      <c r="F123" s="100">
        <f>+E123*0.16</f>
        <v>80000</v>
      </c>
      <c r="G123" s="101">
        <v>10000</v>
      </c>
      <c r="H123" s="101">
        <v>0</v>
      </c>
      <c r="I123" s="100">
        <f>+(E123*2)/12</f>
        <v>83333.333333333328</v>
      </c>
      <c r="J123" s="100">
        <f>+I123*0.16</f>
        <v>13333.333333333332</v>
      </c>
      <c r="K123" s="100">
        <f>F123+G123+H123+J123</f>
        <v>103333.33333333333</v>
      </c>
      <c r="L123" s="102">
        <f>K123+E123+I123</f>
        <v>686666.66666666674</v>
      </c>
      <c r="M123" s="102">
        <f>L123*12</f>
        <v>8240000.0000000009</v>
      </c>
      <c r="O123" s="471">
        <f>L123*E138</f>
        <v>0</v>
      </c>
    </row>
    <row r="124" spans="2:20">
      <c r="B124" s="104" t="s">
        <v>175</v>
      </c>
      <c r="C124" s="405" t="s">
        <v>108</v>
      </c>
      <c r="D124" s="105" t="s">
        <v>109</v>
      </c>
      <c r="E124" s="106">
        <v>350000</v>
      </c>
      <c r="F124" s="107">
        <f t="shared" ref="F124:F132" si="62">+E124*0.16</f>
        <v>56000</v>
      </c>
      <c r="G124" s="94">
        <f>G123</f>
        <v>10000</v>
      </c>
      <c r="H124" s="94">
        <f>H123</f>
        <v>0</v>
      </c>
      <c r="I124" s="107">
        <f t="shared" ref="I124:I131" si="63">+(E124*2)/12</f>
        <v>58333.333333333336</v>
      </c>
      <c r="J124" s="107">
        <f t="shared" ref="J124:J132" si="64">+I124*0.16</f>
        <v>9333.3333333333339</v>
      </c>
      <c r="K124" s="107">
        <f t="shared" ref="K124:K131" si="65">F124+G124+H124+J124</f>
        <v>75333.333333333328</v>
      </c>
      <c r="L124" s="108">
        <f t="shared" ref="L124:L131" si="66">K124+E124+I124</f>
        <v>483666.66666666663</v>
      </c>
      <c r="M124" s="108">
        <f t="shared" ref="M124:M132" si="67">L124*12</f>
        <v>5804000</v>
      </c>
      <c r="O124" s="472">
        <f t="shared" ref="O124:O132" si="68">L124*E139</f>
        <v>483666.66666666663</v>
      </c>
    </row>
    <row r="125" spans="2:20">
      <c r="B125" s="104" t="s">
        <v>175</v>
      </c>
      <c r="C125" s="405" t="s">
        <v>110</v>
      </c>
      <c r="D125" s="105" t="s">
        <v>111</v>
      </c>
      <c r="E125" s="106">
        <v>250000</v>
      </c>
      <c r="F125" s="107">
        <f t="shared" si="62"/>
        <v>40000</v>
      </c>
      <c r="G125" s="94">
        <f t="shared" ref="G125:H131" si="69">G124</f>
        <v>10000</v>
      </c>
      <c r="H125" s="94">
        <f t="shared" si="69"/>
        <v>0</v>
      </c>
      <c r="I125" s="107">
        <f t="shared" si="63"/>
        <v>41666.666666666664</v>
      </c>
      <c r="J125" s="107">
        <f t="shared" si="64"/>
        <v>6666.6666666666661</v>
      </c>
      <c r="K125" s="107">
        <f t="shared" si="65"/>
        <v>56666.666666666664</v>
      </c>
      <c r="L125" s="108">
        <f t="shared" si="66"/>
        <v>348333.33333333337</v>
      </c>
      <c r="M125" s="108">
        <f t="shared" si="67"/>
        <v>4180000.0000000005</v>
      </c>
      <c r="O125" s="472">
        <f t="shared" si="68"/>
        <v>348333.33333333337</v>
      </c>
    </row>
    <row r="126" spans="2:20">
      <c r="B126" s="104" t="s">
        <v>175</v>
      </c>
      <c r="C126" s="405" t="s">
        <v>176</v>
      </c>
      <c r="D126" s="105" t="s">
        <v>113</v>
      </c>
      <c r="E126" s="106">
        <v>220000</v>
      </c>
      <c r="F126" s="107">
        <f t="shared" si="62"/>
        <v>35200</v>
      </c>
      <c r="G126" s="94">
        <f t="shared" si="69"/>
        <v>10000</v>
      </c>
      <c r="H126" s="94">
        <f t="shared" si="69"/>
        <v>0</v>
      </c>
      <c r="I126" s="107">
        <f t="shared" si="63"/>
        <v>36666.666666666664</v>
      </c>
      <c r="J126" s="107">
        <f t="shared" si="64"/>
        <v>5866.6666666666661</v>
      </c>
      <c r="K126" s="107">
        <f t="shared" si="65"/>
        <v>51066.666666666664</v>
      </c>
      <c r="L126" s="108">
        <f t="shared" si="66"/>
        <v>307733.33333333337</v>
      </c>
      <c r="M126" s="108">
        <f t="shared" si="67"/>
        <v>3692800.0000000005</v>
      </c>
      <c r="O126" s="472">
        <f t="shared" si="68"/>
        <v>1230933.3333333335</v>
      </c>
    </row>
    <row r="127" spans="2:20">
      <c r="B127" s="104" t="s">
        <v>175</v>
      </c>
      <c r="C127" s="406" t="s">
        <v>176</v>
      </c>
      <c r="D127" s="110" t="s">
        <v>114</v>
      </c>
      <c r="E127" s="106">
        <v>231000</v>
      </c>
      <c r="F127" s="107">
        <f t="shared" si="62"/>
        <v>36960</v>
      </c>
      <c r="G127" s="94">
        <f t="shared" si="69"/>
        <v>10000</v>
      </c>
      <c r="H127" s="94">
        <f t="shared" si="69"/>
        <v>0</v>
      </c>
      <c r="I127" s="107">
        <f>+(E127*0)/12</f>
        <v>0</v>
      </c>
      <c r="J127" s="107">
        <f t="shared" si="64"/>
        <v>0</v>
      </c>
      <c r="K127" s="107">
        <f t="shared" si="65"/>
        <v>46960</v>
      </c>
      <c r="L127" s="108">
        <f t="shared" si="66"/>
        <v>277960</v>
      </c>
      <c r="M127" s="108">
        <f t="shared" si="67"/>
        <v>3335520</v>
      </c>
      <c r="O127" s="472">
        <f t="shared" si="68"/>
        <v>3335520</v>
      </c>
    </row>
    <row r="128" spans="2:20">
      <c r="B128" s="112" t="s">
        <v>177</v>
      </c>
      <c r="C128" s="406" t="s">
        <v>178</v>
      </c>
      <c r="D128" s="110" t="s">
        <v>116</v>
      </c>
      <c r="E128" s="106">
        <v>500000</v>
      </c>
      <c r="F128" s="107">
        <f t="shared" si="62"/>
        <v>80000</v>
      </c>
      <c r="G128" s="94">
        <f t="shared" si="69"/>
        <v>10000</v>
      </c>
      <c r="H128" s="94">
        <f t="shared" si="69"/>
        <v>0</v>
      </c>
      <c r="I128" s="107">
        <f t="shared" si="63"/>
        <v>83333.333333333328</v>
      </c>
      <c r="J128" s="107">
        <f t="shared" si="64"/>
        <v>13333.333333333332</v>
      </c>
      <c r="K128" s="107">
        <f t="shared" si="65"/>
        <v>103333.33333333333</v>
      </c>
      <c r="L128" s="108">
        <f t="shared" si="66"/>
        <v>686666.66666666674</v>
      </c>
      <c r="M128" s="108">
        <f t="shared" si="67"/>
        <v>8240000.0000000009</v>
      </c>
      <c r="O128" s="472">
        <f t="shared" si="68"/>
        <v>686666.66666666674</v>
      </c>
    </row>
    <row r="129" spans="2:16">
      <c r="B129" s="112" t="s">
        <v>177</v>
      </c>
      <c r="C129" s="406" t="s">
        <v>179</v>
      </c>
      <c r="D129" s="110" t="s">
        <v>109</v>
      </c>
      <c r="E129" s="106">
        <v>350000</v>
      </c>
      <c r="F129" s="107">
        <f t="shared" si="62"/>
        <v>56000</v>
      </c>
      <c r="G129" s="94">
        <f t="shared" si="69"/>
        <v>10000</v>
      </c>
      <c r="H129" s="94">
        <f t="shared" si="69"/>
        <v>0</v>
      </c>
      <c r="I129" s="107">
        <f t="shared" si="63"/>
        <v>58333.333333333336</v>
      </c>
      <c r="J129" s="107">
        <f t="shared" si="64"/>
        <v>9333.3333333333339</v>
      </c>
      <c r="K129" s="107">
        <f t="shared" si="65"/>
        <v>75333.333333333328</v>
      </c>
      <c r="L129" s="108">
        <f t="shared" si="66"/>
        <v>483666.66666666663</v>
      </c>
      <c r="M129" s="108">
        <f t="shared" si="67"/>
        <v>5804000</v>
      </c>
      <c r="O129" s="472">
        <f t="shared" si="68"/>
        <v>483666.66666666663</v>
      </c>
    </row>
    <row r="130" spans="2:16">
      <c r="B130" s="112" t="s">
        <v>177</v>
      </c>
      <c r="C130" s="406" t="s">
        <v>180</v>
      </c>
      <c r="D130" s="110" t="s">
        <v>111</v>
      </c>
      <c r="E130" s="106">
        <v>250000</v>
      </c>
      <c r="F130" s="107">
        <f t="shared" si="62"/>
        <v>40000</v>
      </c>
      <c r="G130" s="94">
        <f t="shared" si="69"/>
        <v>10000</v>
      </c>
      <c r="H130" s="94">
        <f t="shared" si="69"/>
        <v>0</v>
      </c>
      <c r="I130" s="107">
        <f t="shared" si="63"/>
        <v>41666.666666666664</v>
      </c>
      <c r="J130" s="107">
        <f t="shared" si="64"/>
        <v>6666.6666666666661</v>
      </c>
      <c r="K130" s="107">
        <f t="shared" si="65"/>
        <v>56666.666666666664</v>
      </c>
      <c r="L130" s="108">
        <f t="shared" si="66"/>
        <v>348333.33333333337</v>
      </c>
      <c r="M130" s="108">
        <f t="shared" si="67"/>
        <v>4180000.0000000005</v>
      </c>
      <c r="O130" s="472">
        <f t="shared" si="68"/>
        <v>348333.33333333337</v>
      </c>
    </row>
    <row r="131" spans="2:16">
      <c r="B131" s="112" t="s">
        <v>177</v>
      </c>
      <c r="C131" s="406" t="s">
        <v>181</v>
      </c>
      <c r="D131" s="110" t="s">
        <v>113</v>
      </c>
      <c r="E131" s="106">
        <v>220000</v>
      </c>
      <c r="F131" s="107">
        <f t="shared" si="62"/>
        <v>35200</v>
      </c>
      <c r="G131" s="94">
        <f t="shared" si="69"/>
        <v>10000</v>
      </c>
      <c r="H131" s="94">
        <f t="shared" si="69"/>
        <v>0</v>
      </c>
      <c r="I131" s="107">
        <f t="shared" si="63"/>
        <v>36666.666666666664</v>
      </c>
      <c r="J131" s="107">
        <f t="shared" si="64"/>
        <v>5866.6666666666661</v>
      </c>
      <c r="K131" s="107">
        <f t="shared" si="65"/>
        <v>51066.666666666664</v>
      </c>
      <c r="L131" s="108">
        <f t="shared" si="66"/>
        <v>307733.33333333337</v>
      </c>
      <c r="M131" s="108">
        <f t="shared" si="67"/>
        <v>3692800.0000000005</v>
      </c>
      <c r="O131" s="472">
        <f t="shared" si="68"/>
        <v>1230933.3333333335</v>
      </c>
    </row>
    <row r="132" spans="2:16">
      <c r="B132" s="112" t="s">
        <v>350</v>
      </c>
      <c r="C132" s="406" t="s">
        <v>182</v>
      </c>
      <c r="D132" s="110" t="s">
        <v>114</v>
      </c>
      <c r="E132" s="106">
        <v>231000</v>
      </c>
      <c r="F132" s="107">
        <f t="shared" si="62"/>
        <v>36960</v>
      </c>
      <c r="G132" s="94">
        <v>10000</v>
      </c>
      <c r="H132" s="94">
        <v>0</v>
      </c>
      <c r="I132" s="107">
        <f>+(E132*0)/12</f>
        <v>0</v>
      </c>
      <c r="J132" s="107">
        <f t="shared" si="64"/>
        <v>0</v>
      </c>
      <c r="K132" s="107">
        <f>F132+G132+I132+J132</f>
        <v>46960</v>
      </c>
      <c r="L132" s="108">
        <f>K132+E132</f>
        <v>277960</v>
      </c>
      <c r="M132" s="108">
        <f t="shared" si="67"/>
        <v>3335520</v>
      </c>
      <c r="O132" s="472">
        <f t="shared" si="68"/>
        <v>2223680</v>
      </c>
    </row>
    <row r="133" spans="2:16">
      <c r="B133" s="112"/>
      <c r="C133" s="406"/>
      <c r="D133" s="110"/>
      <c r="E133" s="473"/>
      <c r="F133" s="474"/>
      <c r="G133" s="140"/>
      <c r="H133" s="475"/>
      <c r="L133" s="71"/>
      <c r="M133" s="108"/>
      <c r="O133" s="476"/>
    </row>
    <row r="134" spans="2:16">
      <c r="B134" s="427" t="s">
        <v>35</v>
      </c>
      <c r="C134" s="407"/>
      <c r="D134" s="408"/>
      <c r="E134" s="477"/>
      <c r="F134" s="478"/>
      <c r="G134" s="213"/>
      <c r="H134" s="479"/>
      <c r="I134" s="480"/>
      <c r="J134" s="89"/>
      <c r="K134" s="89"/>
      <c r="L134" s="419"/>
      <c r="M134" s="120"/>
      <c r="O134" s="121">
        <f>SUM(O123:O133)</f>
        <v>10371733.333333334</v>
      </c>
    </row>
    <row r="137" spans="2:16">
      <c r="B137" s="5" t="s">
        <v>118</v>
      </c>
      <c r="C137" s="402"/>
      <c r="E137" s="84" t="s">
        <v>30</v>
      </c>
      <c r="F137" s="84" t="s">
        <v>31</v>
      </c>
      <c r="G137" s="84" t="s">
        <v>32</v>
      </c>
      <c r="H137" s="84" t="s">
        <v>33</v>
      </c>
      <c r="I137" s="84" t="s">
        <v>34</v>
      </c>
      <c r="K137" s="58" t="s">
        <v>119</v>
      </c>
      <c r="L137" s="84" t="s">
        <v>30</v>
      </c>
      <c r="M137" s="84" t="s">
        <v>31</v>
      </c>
      <c r="N137" s="84" t="s">
        <v>32</v>
      </c>
      <c r="O137" s="84" t="s">
        <v>33</v>
      </c>
      <c r="P137" s="84" t="s">
        <v>34</v>
      </c>
    </row>
    <row r="138" spans="2:16">
      <c r="B138" s="125" t="s">
        <v>175</v>
      </c>
      <c r="C138" s="403" t="s">
        <v>107</v>
      </c>
      <c r="D138" s="98" t="s">
        <v>116</v>
      </c>
      <c r="E138" s="123">
        <v>0</v>
      </c>
      <c r="F138" s="123">
        <f t="shared" ref="F138:I139" si="70">E138</f>
        <v>0</v>
      </c>
      <c r="G138" s="123">
        <f t="shared" si="70"/>
        <v>0</v>
      </c>
      <c r="H138" s="123">
        <f t="shared" si="70"/>
        <v>0</v>
      </c>
      <c r="I138" s="124">
        <f t="shared" si="70"/>
        <v>0</v>
      </c>
      <c r="K138" s="125" t="s">
        <v>120</v>
      </c>
      <c r="L138" s="126">
        <f>L140-L139</f>
        <v>13</v>
      </c>
      <c r="M138" s="126">
        <f t="shared" ref="M138:P138" si="71">M140-M139</f>
        <v>13</v>
      </c>
      <c r="N138" s="126">
        <f t="shared" si="71"/>
        <v>13</v>
      </c>
      <c r="O138" s="126">
        <f t="shared" si="71"/>
        <v>13</v>
      </c>
      <c r="P138" s="127">
        <f t="shared" si="71"/>
        <v>13</v>
      </c>
    </row>
    <row r="139" spans="2:16">
      <c r="B139" s="104" t="s">
        <v>175</v>
      </c>
      <c r="C139" s="405" t="s">
        <v>108</v>
      </c>
      <c r="D139" s="105" t="s">
        <v>109</v>
      </c>
      <c r="E139" s="129">
        <v>1</v>
      </c>
      <c r="F139" s="129">
        <f t="shared" si="70"/>
        <v>1</v>
      </c>
      <c r="G139" s="129">
        <f t="shared" si="70"/>
        <v>1</v>
      </c>
      <c r="H139" s="129">
        <f t="shared" si="70"/>
        <v>1</v>
      </c>
      <c r="I139" s="130">
        <f t="shared" si="70"/>
        <v>1</v>
      </c>
      <c r="K139" s="104" t="s">
        <v>121</v>
      </c>
      <c r="L139" s="131">
        <f>E142+E147</f>
        <v>20</v>
      </c>
      <c r="M139" s="131">
        <f t="shared" ref="M139:P139" si="72">F142+F147</f>
        <v>20</v>
      </c>
      <c r="N139" s="131">
        <f t="shared" si="72"/>
        <v>20</v>
      </c>
      <c r="O139" s="131">
        <f t="shared" si="72"/>
        <v>20</v>
      </c>
      <c r="P139" s="132">
        <f t="shared" si="72"/>
        <v>20</v>
      </c>
    </row>
    <row r="140" spans="2:16">
      <c r="B140" s="104" t="s">
        <v>175</v>
      </c>
      <c r="C140" s="405" t="s">
        <v>110</v>
      </c>
      <c r="D140" s="105" t="s">
        <v>111</v>
      </c>
      <c r="E140" s="129">
        <v>1</v>
      </c>
      <c r="F140" s="129">
        <f t="shared" ref="F140:G147" si="73">E140</f>
        <v>1</v>
      </c>
      <c r="G140" s="129">
        <f t="shared" si="73"/>
        <v>1</v>
      </c>
      <c r="H140" s="129">
        <f t="shared" ref="H140:I140" si="74">G140</f>
        <v>1</v>
      </c>
      <c r="I140" s="130">
        <f t="shared" si="74"/>
        <v>1</v>
      </c>
      <c r="K140" s="133" t="s">
        <v>35</v>
      </c>
      <c r="L140" s="134">
        <f>E149</f>
        <v>33</v>
      </c>
      <c r="M140" s="134">
        <f t="shared" ref="M140:P140" si="75">F149</f>
        <v>33</v>
      </c>
      <c r="N140" s="134">
        <f t="shared" si="75"/>
        <v>33</v>
      </c>
      <c r="O140" s="134">
        <f t="shared" si="75"/>
        <v>33</v>
      </c>
      <c r="P140" s="135">
        <f t="shared" si="75"/>
        <v>33</v>
      </c>
    </row>
    <row r="141" spans="2:16">
      <c r="B141" s="104" t="s">
        <v>175</v>
      </c>
      <c r="C141" s="405" t="s">
        <v>176</v>
      </c>
      <c r="D141" s="105" t="s">
        <v>113</v>
      </c>
      <c r="E141" s="129">
        <v>4</v>
      </c>
      <c r="F141" s="129">
        <f t="shared" si="73"/>
        <v>4</v>
      </c>
      <c r="G141" s="129">
        <f t="shared" si="73"/>
        <v>4</v>
      </c>
      <c r="H141" s="129">
        <f t="shared" ref="H141:I141" si="76">G141</f>
        <v>4</v>
      </c>
      <c r="I141" s="130">
        <f t="shared" si="76"/>
        <v>4</v>
      </c>
    </row>
    <row r="142" spans="2:16">
      <c r="B142" s="104" t="s">
        <v>175</v>
      </c>
      <c r="C142" s="406" t="s">
        <v>176</v>
      </c>
      <c r="D142" s="110" t="s">
        <v>114</v>
      </c>
      <c r="E142" s="129">
        <v>12</v>
      </c>
      <c r="F142" s="129">
        <f t="shared" si="73"/>
        <v>12</v>
      </c>
      <c r="G142" s="129">
        <f t="shared" si="73"/>
        <v>12</v>
      </c>
      <c r="H142" s="129">
        <f t="shared" ref="H142:I142" si="77">G142</f>
        <v>12</v>
      </c>
      <c r="I142" s="130">
        <f t="shared" si="77"/>
        <v>12</v>
      </c>
    </row>
    <row r="143" spans="2:16">
      <c r="B143" s="112" t="s">
        <v>177</v>
      </c>
      <c r="C143" s="406" t="s">
        <v>178</v>
      </c>
      <c r="D143" s="110" t="s">
        <v>116</v>
      </c>
      <c r="E143" s="129">
        <v>1</v>
      </c>
      <c r="F143" s="129">
        <f t="shared" si="73"/>
        <v>1</v>
      </c>
      <c r="G143" s="129">
        <f t="shared" si="73"/>
        <v>1</v>
      </c>
      <c r="H143" s="129">
        <f t="shared" ref="H143:I143" si="78">G143</f>
        <v>1</v>
      </c>
      <c r="I143" s="130">
        <f t="shared" si="78"/>
        <v>1</v>
      </c>
    </row>
    <row r="144" spans="2:16">
      <c r="B144" s="112" t="s">
        <v>177</v>
      </c>
      <c r="C144" s="406" t="s">
        <v>179</v>
      </c>
      <c r="D144" s="110" t="s">
        <v>109</v>
      </c>
      <c r="E144" s="129">
        <v>1</v>
      </c>
      <c r="F144" s="129">
        <f t="shared" si="73"/>
        <v>1</v>
      </c>
      <c r="G144" s="129">
        <f t="shared" si="73"/>
        <v>1</v>
      </c>
      <c r="H144" s="129">
        <f t="shared" ref="H144:I144" si="79">G144</f>
        <v>1</v>
      </c>
      <c r="I144" s="130">
        <f t="shared" si="79"/>
        <v>1</v>
      </c>
    </row>
    <row r="145" spans="2:9">
      <c r="B145" s="112" t="s">
        <v>177</v>
      </c>
      <c r="C145" s="406" t="s">
        <v>180</v>
      </c>
      <c r="D145" s="110" t="s">
        <v>111</v>
      </c>
      <c r="E145" s="129">
        <v>1</v>
      </c>
      <c r="F145" s="129">
        <f t="shared" si="73"/>
        <v>1</v>
      </c>
      <c r="G145" s="129">
        <f t="shared" si="73"/>
        <v>1</v>
      </c>
      <c r="H145" s="129">
        <f t="shared" ref="H145:I145" si="80">G145</f>
        <v>1</v>
      </c>
      <c r="I145" s="130">
        <f t="shared" si="80"/>
        <v>1</v>
      </c>
    </row>
    <row r="146" spans="2:9">
      <c r="B146" s="112" t="s">
        <v>177</v>
      </c>
      <c r="C146" s="406" t="s">
        <v>181</v>
      </c>
      <c r="D146" s="110" t="s">
        <v>113</v>
      </c>
      <c r="E146" s="129">
        <v>4</v>
      </c>
      <c r="F146" s="129">
        <f t="shared" si="73"/>
        <v>4</v>
      </c>
      <c r="G146" s="129">
        <f t="shared" si="73"/>
        <v>4</v>
      </c>
      <c r="H146" s="129">
        <f t="shared" ref="H146:I146" si="81">G146</f>
        <v>4</v>
      </c>
      <c r="I146" s="130">
        <f t="shared" si="81"/>
        <v>4</v>
      </c>
    </row>
    <row r="147" spans="2:9">
      <c r="B147" s="112" t="s">
        <v>350</v>
      </c>
      <c r="C147" s="406" t="s">
        <v>182</v>
      </c>
      <c r="D147" s="110" t="s">
        <v>114</v>
      </c>
      <c r="E147" s="129">
        <v>8</v>
      </c>
      <c r="F147" s="129">
        <f t="shared" si="73"/>
        <v>8</v>
      </c>
      <c r="G147" s="129">
        <f t="shared" si="73"/>
        <v>8</v>
      </c>
      <c r="H147" s="129">
        <f t="shared" ref="H147:I147" si="82">G147</f>
        <v>8</v>
      </c>
      <c r="I147" s="130">
        <f t="shared" si="82"/>
        <v>8</v>
      </c>
    </row>
    <row r="148" spans="2:9">
      <c r="B148" s="112"/>
      <c r="C148" s="406"/>
      <c r="D148" s="110"/>
      <c r="E148" s="129"/>
      <c r="F148" s="129"/>
      <c r="G148" s="129"/>
      <c r="H148" s="129"/>
      <c r="I148" s="130"/>
    </row>
    <row r="149" spans="2:9">
      <c r="B149" s="427" t="s">
        <v>35</v>
      </c>
      <c r="C149" s="407"/>
      <c r="D149" s="408"/>
      <c r="E149" s="413">
        <f>SUM(E138:E148)</f>
        <v>33</v>
      </c>
      <c r="F149" s="413">
        <f>SUM(F138:F148)</f>
        <v>33</v>
      </c>
      <c r="G149" s="413">
        <f>SUM(G138:G148)</f>
        <v>33</v>
      </c>
      <c r="H149" s="413">
        <f>SUM(H138:H148)</f>
        <v>33</v>
      </c>
      <c r="I149" s="82">
        <f>SUM(I138:I148)</f>
        <v>33</v>
      </c>
    </row>
    <row r="152" spans="2:9">
      <c r="B152" s="58" t="s">
        <v>122</v>
      </c>
      <c r="C152" s="402"/>
      <c r="E152" s="84" t="s">
        <v>30</v>
      </c>
      <c r="F152" s="84" t="s">
        <v>31</v>
      </c>
      <c r="G152" s="84" t="s">
        <v>32</v>
      </c>
      <c r="H152" s="84" t="s">
        <v>33</v>
      </c>
      <c r="I152" s="84" t="s">
        <v>34</v>
      </c>
    </row>
    <row r="153" spans="2:9">
      <c r="B153" s="125" t="s">
        <v>175</v>
      </c>
      <c r="C153" s="403" t="s">
        <v>107</v>
      </c>
      <c r="D153" s="98" t="s">
        <v>116</v>
      </c>
      <c r="E153" s="143">
        <f t="shared" ref="E153:I162" si="83">$M123*E138</f>
        <v>0</v>
      </c>
      <c r="F153" s="100">
        <f t="shared" si="83"/>
        <v>0</v>
      </c>
      <c r="G153" s="100">
        <f t="shared" si="83"/>
        <v>0</v>
      </c>
      <c r="H153" s="100">
        <f t="shared" si="83"/>
        <v>0</v>
      </c>
      <c r="I153" s="102">
        <f t="shared" si="83"/>
        <v>0</v>
      </c>
    </row>
    <row r="154" spans="2:9">
      <c r="B154" s="104" t="s">
        <v>175</v>
      </c>
      <c r="C154" s="405" t="s">
        <v>108</v>
      </c>
      <c r="D154" s="105" t="s">
        <v>109</v>
      </c>
      <c r="E154" s="144">
        <f t="shared" si="83"/>
        <v>5804000</v>
      </c>
      <c r="F154" s="107">
        <f t="shared" si="83"/>
        <v>5804000</v>
      </c>
      <c r="G154" s="107">
        <f t="shared" si="83"/>
        <v>5804000</v>
      </c>
      <c r="H154" s="107">
        <f t="shared" si="83"/>
        <v>5804000</v>
      </c>
      <c r="I154" s="108">
        <f t="shared" si="83"/>
        <v>5804000</v>
      </c>
    </row>
    <row r="155" spans="2:9">
      <c r="B155" s="104" t="s">
        <v>175</v>
      </c>
      <c r="C155" s="405" t="s">
        <v>110</v>
      </c>
      <c r="D155" s="105" t="s">
        <v>111</v>
      </c>
      <c r="E155" s="144">
        <f t="shared" si="83"/>
        <v>4180000.0000000005</v>
      </c>
      <c r="F155" s="107">
        <f t="shared" si="83"/>
        <v>4180000.0000000005</v>
      </c>
      <c r="G155" s="107">
        <f t="shared" si="83"/>
        <v>4180000.0000000005</v>
      </c>
      <c r="H155" s="107">
        <f t="shared" si="83"/>
        <v>4180000.0000000005</v>
      </c>
      <c r="I155" s="108">
        <f t="shared" si="83"/>
        <v>4180000.0000000005</v>
      </c>
    </row>
    <row r="156" spans="2:9">
      <c r="B156" s="104" t="s">
        <v>175</v>
      </c>
      <c r="C156" s="405" t="s">
        <v>176</v>
      </c>
      <c r="D156" s="105" t="s">
        <v>113</v>
      </c>
      <c r="E156" s="144">
        <f t="shared" si="83"/>
        <v>14771200.000000002</v>
      </c>
      <c r="F156" s="107">
        <f t="shared" si="83"/>
        <v>14771200.000000002</v>
      </c>
      <c r="G156" s="107">
        <f t="shared" si="83"/>
        <v>14771200.000000002</v>
      </c>
      <c r="H156" s="107">
        <f t="shared" si="83"/>
        <v>14771200.000000002</v>
      </c>
      <c r="I156" s="108">
        <f t="shared" si="83"/>
        <v>14771200.000000002</v>
      </c>
    </row>
    <row r="157" spans="2:9">
      <c r="B157" s="104" t="s">
        <v>175</v>
      </c>
      <c r="C157" s="406" t="s">
        <v>176</v>
      </c>
      <c r="D157" s="110" t="s">
        <v>114</v>
      </c>
      <c r="E157" s="144">
        <f t="shared" si="83"/>
        <v>40026240</v>
      </c>
      <c r="F157" s="107">
        <f t="shared" si="83"/>
        <v>40026240</v>
      </c>
      <c r="G157" s="107">
        <f t="shared" si="83"/>
        <v>40026240</v>
      </c>
      <c r="H157" s="107">
        <f t="shared" si="83"/>
        <v>40026240</v>
      </c>
      <c r="I157" s="108">
        <f t="shared" si="83"/>
        <v>40026240</v>
      </c>
    </row>
    <row r="158" spans="2:9">
      <c r="B158" s="112" t="s">
        <v>177</v>
      </c>
      <c r="C158" s="406" t="s">
        <v>178</v>
      </c>
      <c r="D158" s="110" t="s">
        <v>116</v>
      </c>
      <c r="E158" s="144">
        <f t="shared" si="83"/>
        <v>8240000.0000000009</v>
      </c>
      <c r="F158" s="107">
        <f t="shared" si="83"/>
        <v>8240000.0000000009</v>
      </c>
      <c r="G158" s="107">
        <f t="shared" si="83"/>
        <v>8240000.0000000009</v>
      </c>
      <c r="H158" s="107">
        <f t="shared" si="83"/>
        <v>8240000.0000000009</v>
      </c>
      <c r="I158" s="108">
        <f t="shared" si="83"/>
        <v>8240000.0000000009</v>
      </c>
    </row>
    <row r="159" spans="2:9">
      <c r="B159" s="112" t="s">
        <v>177</v>
      </c>
      <c r="C159" s="406" t="s">
        <v>179</v>
      </c>
      <c r="D159" s="110" t="s">
        <v>109</v>
      </c>
      <c r="E159" s="144">
        <f t="shared" si="83"/>
        <v>5804000</v>
      </c>
      <c r="F159" s="107">
        <f t="shared" si="83"/>
        <v>5804000</v>
      </c>
      <c r="G159" s="107">
        <f t="shared" si="83"/>
        <v>5804000</v>
      </c>
      <c r="H159" s="107">
        <f t="shared" si="83"/>
        <v>5804000</v>
      </c>
      <c r="I159" s="108">
        <f t="shared" si="83"/>
        <v>5804000</v>
      </c>
    </row>
    <row r="160" spans="2:9">
      <c r="B160" s="112" t="s">
        <v>177</v>
      </c>
      <c r="C160" s="406" t="s">
        <v>180</v>
      </c>
      <c r="D160" s="110" t="s">
        <v>111</v>
      </c>
      <c r="E160" s="144">
        <f t="shared" si="83"/>
        <v>4180000.0000000005</v>
      </c>
      <c r="F160" s="107">
        <f t="shared" si="83"/>
        <v>4180000.0000000005</v>
      </c>
      <c r="G160" s="107">
        <f t="shared" si="83"/>
        <v>4180000.0000000005</v>
      </c>
      <c r="H160" s="107">
        <f t="shared" si="83"/>
        <v>4180000.0000000005</v>
      </c>
      <c r="I160" s="108">
        <f t="shared" si="83"/>
        <v>4180000.0000000005</v>
      </c>
    </row>
    <row r="161" spans="2:9">
      <c r="B161" s="112" t="s">
        <v>177</v>
      </c>
      <c r="C161" s="406" t="s">
        <v>181</v>
      </c>
      <c r="D161" s="110" t="s">
        <v>113</v>
      </c>
      <c r="E161" s="144">
        <f t="shared" si="83"/>
        <v>14771200.000000002</v>
      </c>
      <c r="F161" s="107">
        <f t="shared" si="83"/>
        <v>14771200.000000002</v>
      </c>
      <c r="G161" s="107">
        <f t="shared" si="83"/>
        <v>14771200.000000002</v>
      </c>
      <c r="H161" s="107">
        <f t="shared" si="83"/>
        <v>14771200.000000002</v>
      </c>
      <c r="I161" s="108">
        <f t="shared" si="83"/>
        <v>14771200.000000002</v>
      </c>
    </row>
    <row r="162" spans="2:9">
      <c r="B162" s="112" t="s">
        <v>350</v>
      </c>
      <c r="C162" s="406" t="s">
        <v>182</v>
      </c>
      <c r="D162" s="110" t="s">
        <v>114</v>
      </c>
      <c r="E162" s="144">
        <f t="shared" si="83"/>
        <v>26684160</v>
      </c>
      <c r="F162" s="107">
        <f t="shared" si="83"/>
        <v>26684160</v>
      </c>
      <c r="G162" s="107">
        <f t="shared" si="83"/>
        <v>26684160</v>
      </c>
      <c r="H162" s="107">
        <f t="shared" si="83"/>
        <v>26684160</v>
      </c>
      <c r="I162" s="108">
        <f t="shared" si="83"/>
        <v>26684160</v>
      </c>
    </row>
    <row r="163" spans="2:9">
      <c r="B163" s="112"/>
      <c r="C163" s="406"/>
      <c r="D163" s="110"/>
      <c r="E163" s="414"/>
      <c r="F163" s="415"/>
      <c r="G163" s="415"/>
      <c r="H163" s="415"/>
      <c r="I163" s="416"/>
    </row>
    <row r="164" spans="2:9">
      <c r="B164" s="427" t="s">
        <v>35</v>
      </c>
      <c r="C164" s="407"/>
      <c r="D164" s="408"/>
      <c r="E164" s="417">
        <f>SUM(E153:E163)</f>
        <v>124460800</v>
      </c>
      <c r="F164" s="413">
        <f>SUM(F153:F163)</f>
        <v>124460800</v>
      </c>
      <c r="G164" s="413">
        <f>SUM(G153:G163)</f>
        <v>124460800</v>
      </c>
      <c r="H164" s="413">
        <f>SUM(H153:H163)</f>
        <v>124460800</v>
      </c>
      <c r="I164" s="82">
        <f>SUM(I153:I163)</f>
        <v>124460800</v>
      </c>
    </row>
    <row r="167" spans="2:9">
      <c r="B167" s="481" t="s">
        <v>183</v>
      </c>
      <c r="C167" s="418"/>
      <c r="E167" s="84" t="s">
        <v>124</v>
      </c>
    </row>
    <row r="168" spans="2:9">
      <c r="B168" s="62" t="s">
        <v>39</v>
      </c>
      <c r="C168" s="85"/>
      <c r="D168" s="85"/>
      <c r="E168" s="126">
        <f>Q100</f>
        <v>569365037.8003248</v>
      </c>
      <c r="F168" s="85"/>
      <c r="G168" s="85"/>
      <c r="H168" s="342"/>
    </row>
    <row r="169" spans="2:9">
      <c r="B169" s="72" t="s">
        <v>184</v>
      </c>
      <c r="C169" s="89"/>
      <c r="D169" s="89"/>
      <c r="E169" s="134">
        <f>E164</f>
        <v>124460800</v>
      </c>
      <c r="F169" s="482">
        <f>E169/$E$168</f>
        <v>0.21859578958490275</v>
      </c>
      <c r="G169" s="89"/>
      <c r="H169" s="419"/>
    </row>
    <row r="170" spans="2:9">
      <c r="B170" s="125" t="s">
        <v>185</v>
      </c>
      <c r="C170" s="403"/>
      <c r="D170" s="483"/>
      <c r="E170" s="423">
        <f>E168*H170</f>
        <v>199277763.23011366</v>
      </c>
      <c r="F170" s="484">
        <f>E170/$E$168</f>
        <v>0.35</v>
      </c>
      <c r="G170" s="485" t="s">
        <v>395</v>
      </c>
      <c r="H170" s="486">
        <v>0.35</v>
      </c>
    </row>
    <row r="171" spans="2:9">
      <c r="B171" s="427" t="s">
        <v>388</v>
      </c>
      <c r="C171" s="407"/>
      <c r="D171" s="428"/>
      <c r="E171" s="429">
        <f>E168*H171</f>
        <v>28468251.890016243</v>
      </c>
      <c r="F171" s="487">
        <f>E171/$E$168</f>
        <v>0.05</v>
      </c>
      <c r="G171" s="213" t="s">
        <v>396</v>
      </c>
      <c r="H171" s="488">
        <v>0.05</v>
      </c>
    </row>
    <row r="173" spans="2:9">
      <c r="E173" s="131"/>
    </row>
    <row r="174" spans="2:9">
      <c r="B174" s="345" t="s">
        <v>136</v>
      </c>
      <c r="C174" s="434"/>
      <c r="D174" s="435"/>
      <c r="E174" s="436" t="s">
        <v>124</v>
      </c>
      <c r="F174" s="437" t="s">
        <v>137</v>
      </c>
      <c r="H174" s="62" t="s">
        <v>186</v>
      </c>
      <c r="I174" s="437" t="s">
        <v>124</v>
      </c>
    </row>
    <row r="175" spans="2:9">
      <c r="B175" s="438" t="s">
        <v>138</v>
      </c>
      <c r="C175" s="439"/>
      <c r="D175" s="439"/>
      <c r="E175" s="440">
        <f>E168</f>
        <v>569365037.8003248</v>
      </c>
      <c r="F175" s="489"/>
      <c r="H175" s="66" t="s">
        <v>187</v>
      </c>
      <c r="I175" s="132">
        <f>Q111</f>
        <v>65060.15040584415</v>
      </c>
    </row>
    <row r="176" spans="2:9">
      <c r="B176" s="438" t="s">
        <v>188</v>
      </c>
      <c r="C176" s="439"/>
      <c r="D176" s="439"/>
      <c r="E176" s="442">
        <f>E169</f>
        <v>124460800</v>
      </c>
      <c r="F176" s="490">
        <f>E176/$E$168</f>
        <v>0.21859578958490275</v>
      </c>
      <c r="H176" s="66" t="s">
        <v>189</v>
      </c>
      <c r="I176" s="132">
        <f>Q112</f>
        <v>32056.015040584418</v>
      </c>
    </row>
    <row r="177" spans="2:15">
      <c r="B177" s="438" t="s">
        <v>139</v>
      </c>
      <c r="C177" s="439"/>
      <c r="D177" s="439"/>
      <c r="E177" s="442">
        <f>E170</f>
        <v>199277763.23011366</v>
      </c>
      <c r="F177" s="490">
        <f>E177/$E$168</f>
        <v>0.35</v>
      </c>
      <c r="H177" s="66" t="s">
        <v>190</v>
      </c>
      <c r="I177" s="132">
        <f>Q113</f>
        <v>46336.090243506493</v>
      </c>
    </row>
    <row r="178" spans="2:15">
      <c r="B178" s="438" t="s">
        <v>140</v>
      </c>
      <c r="C178" s="439"/>
      <c r="D178" s="439"/>
      <c r="E178" s="442">
        <f>E171</f>
        <v>28468251.890016243</v>
      </c>
      <c r="F178" s="490">
        <f>E178/$E$168</f>
        <v>0.05</v>
      </c>
      <c r="H178" s="360" t="s">
        <v>18</v>
      </c>
      <c r="I178" s="365">
        <f>SUM(I175:I177)</f>
        <v>143452.25568993506</v>
      </c>
    </row>
    <row r="179" spans="2:15">
      <c r="B179" s="438" t="s">
        <v>141</v>
      </c>
      <c r="C179" s="439"/>
      <c r="D179" s="439"/>
      <c r="E179" s="442">
        <f>SUM(E176:E178)</f>
        <v>352206815.12012988</v>
      </c>
      <c r="F179" s="490">
        <f>E179/$E$168</f>
        <v>0.61859578958490269</v>
      </c>
    </row>
    <row r="180" spans="2:15">
      <c r="B180" s="350" t="s">
        <v>142</v>
      </c>
      <c r="C180" s="444"/>
      <c r="D180" s="444"/>
      <c r="E180" s="445">
        <f>E175-E179</f>
        <v>217158222.68019491</v>
      </c>
      <c r="F180" s="491">
        <f>E180/$E$168</f>
        <v>0.38140421041509731</v>
      </c>
    </row>
    <row r="181" spans="2:15">
      <c r="B181" s="56" t="s">
        <v>2</v>
      </c>
      <c r="E181" s="246">
        <f>Proforma!D58</f>
        <v>217158222.68019491</v>
      </c>
    </row>
    <row r="184" spans="2:15">
      <c r="G184" s="76"/>
    </row>
    <row r="187" spans="2:15">
      <c r="C187" s="345" t="s">
        <v>143</v>
      </c>
      <c r="D187" s="346"/>
      <c r="E187" s="347" t="s">
        <v>30</v>
      </c>
      <c r="F187" s="348"/>
      <c r="G187" s="349" t="s">
        <v>31</v>
      </c>
      <c r="H187" s="348"/>
      <c r="I187" s="349" t="s">
        <v>32</v>
      </c>
      <c r="J187" s="348"/>
      <c r="K187" s="349" t="s">
        <v>33</v>
      </c>
      <c r="L187" s="348"/>
      <c r="M187" s="349" t="s">
        <v>34</v>
      </c>
      <c r="N187" s="348"/>
    </row>
    <row r="188" spans="2:15">
      <c r="C188" s="350" t="s">
        <v>191</v>
      </c>
      <c r="D188" s="351"/>
      <c r="E188" s="352" t="s">
        <v>145</v>
      </c>
      <c r="F188" s="353" t="s">
        <v>146</v>
      </c>
      <c r="G188" s="353" t="s">
        <v>145</v>
      </c>
      <c r="H188" s="353" t="s">
        <v>146</v>
      </c>
      <c r="I188" s="353" t="s">
        <v>145</v>
      </c>
      <c r="J188" s="353" t="s">
        <v>146</v>
      </c>
      <c r="K188" s="353" t="s">
        <v>145</v>
      </c>
      <c r="L188" s="353" t="s">
        <v>146</v>
      </c>
      <c r="M188" s="353" t="s">
        <v>145</v>
      </c>
      <c r="N188" s="353" t="s">
        <v>146</v>
      </c>
    </row>
    <row r="189" spans="2:15">
      <c r="C189" s="66" t="str">
        <f>C188</f>
        <v>Western Dining</v>
      </c>
      <c r="D189" s="71"/>
      <c r="E189" s="126">
        <f>E149</f>
        <v>33</v>
      </c>
      <c r="F189" s="126">
        <f>E164</f>
        <v>124460800</v>
      </c>
      <c r="G189" s="126">
        <f>F149</f>
        <v>33</v>
      </c>
      <c r="H189" s="126">
        <f>F164</f>
        <v>124460800</v>
      </c>
      <c r="I189" s="126">
        <f>G149</f>
        <v>33</v>
      </c>
      <c r="J189" s="126">
        <f>G164</f>
        <v>124460800</v>
      </c>
      <c r="K189" s="126">
        <f>H149</f>
        <v>33</v>
      </c>
      <c r="L189" s="126">
        <f>H164</f>
        <v>124460800</v>
      </c>
      <c r="M189" s="126">
        <f>I149</f>
        <v>33</v>
      </c>
      <c r="N189" s="127">
        <f>I164</f>
        <v>124460800</v>
      </c>
      <c r="O189" s="83"/>
    </row>
    <row r="190" spans="2:15">
      <c r="C190" s="66"/>
      <c r="D190" s="71"/>
      <c r="N190" s="71"/>
    </row>
    <row r="191" spans="2:15">
      <c r="C191" s="66" t="s">
        <v>120</v>
      </c>
      <c r="D191" s="71"/>
      <c r="E191" s="131">
        <f>L138</f>
        <v>13</v>
      </c>
      <c r="G191" s="131">
        <f>M138</f>
        <v>13</v>
      </c>
      <c r="I191" s="131">
        <f>N138</f>
        <v>13</v>
      </c>
      <c r="K191" s="131">
        <f>O138</f>
        <v>13</v>
      </c>
      <c r="M191" s="131">
        <f>P138</f>
        <v>13</v>
      </c>
      <c r="N191" s="71"/>
    </row>
    <row r="192" spans="2:15">
      <c r="C192" s="66" t="s">
        <v>121</v>
      </c>
      <c r="D192" s="71"/>
      <c r="E192" s="131">
        <f>L139</f>
        <v>20</v>
      </c>
      <c r="G192" s="131">
        <f>M139</f>
        <v>20</v>
      </c>
      <c r="I192" s="131">
        <f>N139</f>
        <v>20</v>
      </c>
      <c r="K192" s="131">
        <f>O139</f>
        <v>20</v>
      </c>
      <c r="M192" s="131">
        <f>P139</f>
        <v>20</v>
      </c>
      <c r="N192" s="71"/>
    </row>
    <row r="193" spans="3:14">
      <c r="C193" s="360" t="s">
        <v>35</v>
      </c>
      <c r="D193" s="361"/>
      <c r="E193" s="362">
        <f>E191+E192</f>
        <v>33</v>
      </c>
      <c r="F193" s="363"/>
      <c r="G193" s="362">
        <f>G191+G192</f>
        <v>33</v>
      </c>
      <c r="H193" s="363"/>
      <c r="I193" s="362">
        <f>I191+I192</f>
        <v>33</v>
      </c>
      <c r="J193" s="363"/>
      <c r="K193" s="362">
        <f>K191+K192</f>
        <v>33</v>
      </c>
      <c r="L193" s="363"/>
      <c r="M193" s="362">
        <f>M191+M192</f>
        <v>33</v>
      </c>
      <c r="N193" s="361"/>
    </row>
  </sheetData>
  <mergeCells count="5">
    <mergeCell ref="E187:F187"/>
    <mergeCell ref="G187:H187"/>
    <mergeCell ref="I187:J187"/>
    <mergeCell ref="K187:L187"/>
    <mergeCell ref="M187:N187"/>
  </mergeCells>
  <phoneticPr fontId="23"/>
  <pageMargins left="0.7" right="0.7" top="0.75" bottom="0.75" header="0.3" footer="0.3"/>
  <pageSetup paperSize="8"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79C8-2968-439A-B5FC-DFADB3D4C2CE}">
  <dimension ref="A1:S124"/>
  <sheetViews>
    <sheetView zoomScale="85" zoomScaleNormal="85" workbookViewId="0">
      <selection activeCell="C59" sqref="C59"/>
    </sheetView>
  </sheetViews>
  <sheetFormatPr defaultColWidth="9" defaultRowHeight="12"/>
  <cols>
    <col min="1" max="1" width="3" style="56" customWidth="1"/>
    <col min="2" max="2" width="23.90625" style="56" customWidth="1"/>
    <col min="3" max="3" width="17.6328125" style="56" customWidth="1"/>
    <col min="4" max="4" width="16.7265625" style="56" customWidth="1"/>
    <col min="5" max="17" width="12.90625" style="56" customWidth="1"/>
    <col min="18" max="18" width="4" style="56" customWidth="1"/>
    <col min="19" max="16384" width="9" style="56"/>
  </cols>
  <sheetData>
    <row r="1" spans="1:17">
      <c r="A1" s="55" t="str">
        <f>'Room Types'!$A$1</f>
        <v>Hotel xxxx</v>
      </c>
    </row>
    <row r="2" spans="1:17">
      <c r="A2" s="58" t="s">
        <v>277</v>
      </c>
    </row>
    <row r="3" spans="1:17">
      <c r="A3" s="58" t="s">
        <v>27</v>
      </c>
    </row>
    <row r="4" spans="1:17">
      <c r="A4" s="58"/>
    </row>
    <row r="5" spans="1:17">
      <c r="A5" s="58"/>
    </row>
    <row r="6" spans="1:17">
      <c r="A6" s="58"/>
      <c r="E6" s="84" t="s">
        <v>73</v>
      </c>
    </row>
    <row r="7" spans="1:17">
      <c r="B7" s="58" t="s">
        <v>147</v>
      </c>
      <c r="C7" s="58"/>
      <c r="E7" s="60" t="s">
        <v>196</v>
      </c>
      <c r="F7" s="60" t="s">
        <v>197</v>
      </c>
      <c r="G7" s="60" t="s">
        <v>198</v>
      </c>
      <c r="H7" s="60" t="s">
        <v>199</v>
      </c>
      <c r="I7" s="60" t="s">
        <v>200</v>
      </c>
      <c r="J7" s="60" t="s">
        <v>201</v>
      </c>
      <c r="K7" s="60" t="s">
        <v>202</v>
      </c>
      <c r="L7" s="60" t="s">
        <v>203</v>
      </c>
      <c r="M7" s="60" t="s">
        <v>204</v>
      </c>
      <c r="N7" s="60" t="s">
        <v>205</v>
      </c>
      <c r="O7" s="60" t="s">
        <v>206</v>
      </c>
      <c r="P7" s="60" t="s">
        <v>207</v>
      </c>
      <c r="Q7" s="60" t="s">
        <v>16</v>
      </c>
    </row>
    <row r="8" spans="1:17">
      <c r="B8" s="62" t="s">
        <v>20</v>
      </c>
      <c r="C8" s="85"/>
      <c r="D8" s="85"/>
      <c r="E8" s="63">
        <f>Rooms!G7</f>
        <v>31</v>
      </c>
      <c r="F8" s="65">
        <f>Rooms!H7</f>
        <v>28</v>
      </c>
      <c r="G8" s="65">
        <f>Rooms!I7</f>
        <v>31</v>
      </c>
      <c r="H8" s="65">
        <f>Rooms!J7</f>
        <v>30</v>
      </c>
      <c r="I8" s="65">
        <f>Rooms!K7</f>
        <v>31</v>
      </c>
      <c r="J8" s="65">
        <f>Rooms!L7</f>
        <v>30</v>
      </c>
      <c r="K8" s="65">
        <f>Rooms!M7</f>
        <v>31</v>
      </c>
      <c r="L8" s="65">
        <f>Rooms!N7</f>
        <v>31</v>
      </c>
      <c r="M8" s="65">
        <f>Rooms!O7</f>
        <v>30</v>
      </c>
      <c r="N8" s="65">
        <f>Rooms!P7</f>
        <v>31</v>
      </c>
      <c r="O8" s="65">
        <f>Rooms!Q7</f>
        <v>30</v>
      </c>
      <c r="P8" s="65">
        <f>Rooms!R7</f>
        <v>31</v>
      </c>
      <c r="Q8" s="64">
        <f t="shared" ref="Q8:Q10" si="0">SUM(E8:P8)</f>
        <v>365</v>
      </c>
    </row>
    <row r="9" spans="1:17">
      <c r="B9" s="66" t="s">
        <v>131</v>
      </c>
      <c r="E9" s="59">
        <f>Rooms!G9</f>
        <v>6417</v>
      </c>
      <c r="F9" s="68">
        <f>Rooms!H9</f>
        <v>5796</v>
      </c>
      <c r="G9" s="68">
        <f>Rooms!I9</f>
        <v>6417</v>
      </c>
      <c r="H9" s="68">
        <f>Rooms!J9</f>
        <v>6210</v>
      </c>
      <c r="I9" s="68">
        <f>Rooms!K9</f>
        <v>6417</v>
      </c>
      <c r="J9" s="68">
        <f>Rooms!L9</f>
        <v>6210</v>
      </c>
      <c r="K9" s="68">
        <f>Rooms!M9</f>
        <v>6417</v>
      </c>
      <c r="L9" s="68">
        <f>Rooms!N9</f>
        <v>6417</v>
      </c>
      <c r="M9" s="68">
        <f>Rooms!O9</f>
        <v>6210</v>
      </c>
      <c r="N9" s="68">
        <f>Rooms!P9</f>
        <v>6417</v>
      </c>
      <c r="O9" s="68">
        <f>Rooms!Q9</f>
        <v>6210</v>
      </c>
      <c r="P9" s="68">
        <f>Rooms!R9</f>
        <v>6417</v>
      </c>
      <c r="Q9" s="69">
        <f t="shared" si="0"/>
        <v>75555</v>
      </c>
    </row>
    <row r="10" spans="1:17">
      <c r="B10" s="66" t="s">
        <v>76</v>
      </c>
      <c r="E10" s="59">
        <f>Rooms!G10</f>
        <v>5133.6000000000004</v>
      </c>
      <c r="F10" s="59">
        <f>Rooms!H10</f>
        <v>4876.5553977272721</v>
      </c>
      <c r="G10" s="59">
        <f>Rooms!I10</f>
        <v>5199.7492694805205</v>
      </c>
      <c r="H10" s="59">
        <f>Rooms!J10</f>
        <v>4419.7608360389604</v>
      </c>
      <c r="I10" s="59">
        <f>Rooms!K10</f>
        <v>5652.8978084415594</v>
      </c>
      <c r="J10" s="59">
        <f>Rooms!L10</f>
        <v>5785.9776379870109</v>
      </c>
      <c r="K10" s="59">
        <f>Rooms!M10</f>
        <v>5873.7426136363656</v>
      </c>
      <c r="L10" s="59">
        <f>Rooms!N10</f>
        <v>5879.9929383116851</v>
      </c>
      <c r="M10" s="59">
        <f>Rooms!O10</f>
        <v>5784.675487012988</v>
      </c>
      <c r="N10" s="59">
        <f>Rooms!P10</f>
        <v>5785.717207792206</v>
      </c>
      <c r="O10" s="59">
        <f>Rooms!Q10</f>
        <v>5192.4572240259758</v>
      </c>
      <c r="P10" s="59">
        <f>Rooms!R10</f>
        <v>5475.0239853896119</v>
      </c>
      <c r="Q10" s="69">
        <f t="shared" si="0"/>
        <v>65060.15040584415</v>
      </c>
    </row>
    <row r="11" spans="1:17">
      <c r="B11" s="66" t="s">
        <v>77</v>
      </c>
      <c r="E11" s="70">
        <f>Rooms!G11</f>
        <v>0.8</v>
      </c>
      <c r="F11" s="70">
        <f>Rooms!H11</f>
        <v>0.8413656655844155</v>
      </c>
      <c r="G11" s="70">
        <f>Rooms!I11</f>
        <v>0.81030844155844173</v>
      </c>
      <c r="H11" s="70">
        <f>Rooms!J11</f>
        <v>0.71171672077922066</v>
      </c>
      <c r="I11" s="70">
        <f>Rooms!K11</f>
        <v>0.88092532467532481</v>
      </c>
      <c r="J11" s="70">
        <f>Rooms!L11</f>
        <v>0.93171942640692607</v>
      </c>
      <c r="K11" s="70">
        <f>Rooms!M11</f>
        <v>0.91534090909090937</v>
      </c>
      <c r="L11" s="70">
        <f>Rooms!N11</f>
        <v>0.91631493506493455</v>
      </c>
      <c r="M11" s="70">
        <f>Rooms!O11</f>
        <v>0.93150974025974043</v>
      </c>
      <c r="N11" s="70">
        <f>Rooms!P11</f>
        <v>0.90162337662337633</v>
      </c>
      <c r="O11" s="70">
        <f>Rooms!Q11</f>
        <v>0.83614448051948076</v>
      </c>
      <c r="P11" s="70">
        <f>Rooms!R11</f>
        <v>0.85320616883116907</v>
      </c>
      <c r="Q11" s="67">
        <f>Rooms!S11</f>
        <v>0.86109655755203696</v>
      </c>
    </row>
    <row r="12" spans="1:17">
      <c r="B12" s="66" t="s">
        <v>78</v>
      </c>
      <c r="E12" s="59">
        <f>Rooms!G12</f>
        <v>10000</v>
      </c>
      <c r="F12" s="59">
        <f>Rooms!H12</f>
        <v>9999.9999999999964</v>
      </c>
      <c r="G12" s="59">
        <f>Rooms!I12</f>
        <v>10000</v>
      </c>
      <c r="H12" s="59">
        <f>Rooms!J12</f>
        <v>9999.9999999999964</v>
      </c>
      <c r="I12" s="59">
        <f>Rooms!K12</f>
        <v>10000</v>
      </c>
      <c r="J12" s="59">
        <f>Rooms!L12</f>
        <v>9999.9999999999982</v>
      </c>
      <c r="K12" s="59">
        <f>Rooms!M12</f>
        <v>9999.9999999999982</v>
      </c>
      <c r="L12" s="59">
        <f>Rooms!N12</f>
        <v>10000.000000000002</v>
      </c>
      <c r="M12" s="59">
        <f>Rooms!O12</f>
        <v>10000</v>
      </c>
      <c r="N12" s="59">
        <f>Rooms!P12</f>
        <v>9999.9999999999982</v>
      </c>
      <c r="O12" s="59">
        <f>Rooms!Q12</f>
        <v>9999.9999999999964</v>
      </c>
      <c r="P12" s="59">
        <f>Rooms!R12</f>
        <v>9999.9999999999964</v>
      </c>
      <c r="Q12" s="69">
        <f>Rooms!S12</f>
        <v>10000</v>
      </c>
    </row>
    <row r="13" spans="1:17">
      <c r="B13" s="66" t="s">
        <v>79</v>
      </c>
      <c r="E13" s="59">
        <f>Rooms!G13</f>
        <v>8000</v>
      </c>
      <c r="F13" s="59">
        <f>Rooms!H13</f>
        <v>8413.6566558441518</v>
      </c>
      <c r="G13" s="59">
        <f>Rooms!I13</f>
        <v>8103.084415584417</v>
      </c>
      <c r="H13" s="59">
        <f>Rooms!J13</f>
        <v>7117.167207792204</v>
      </c>
      <c r="I13" s="59">
        <f>Rooms!K13</f>
        <v>8809.2532467532474</v>
      </c>
      <c r="J13" s="59">
        <f>Rooms!L13</f>
        <v>9317.1942640692596</v>
      </c>
      <c r="K13" s="59">
        <f>Rooms!M13</f>
        <v>9153.4090909090919</v>
      </c>
      <c r="L13" s="59">
        <f>Rooms!N13</f>
        <v>9163.149350649348</v>
      </c>
      <c r="M13" s="59">
        <f>Rooms!O13</f>
        <v>9315.0974025974047</v>
      </c>
      <c r="N13" s="59">
        <f>Rooms!P13</f>
        <v>9016.2337662337613</v>
      </c>
      <c r="O13" s="59">
        <f>Rooms!Q13</f>
        <v>8361.4448051948038</v>
      </c>
      <c r="P13" s="59">
        <f>Rooms!R13</f>
        <v>8532.0616883116872</v>
      </c>
      <c r="Q13" s="69">
        <f>Rooms!S13</f>
        <v>8610.9655755203694</v>
      </c>
    </row>
    <row r="14" spans="1:17">
      <c r="B14" s="72" t="s">
        <v>148</v>
      </c>
      <c r="C14" s="89"/>
      <c r="D14" s="366">
        <f>Q14/Q10</f>
        <v>2</v>
      </c>
      <c r="E14" s="73">
        <f>Rooms!G14</f>
        <v>10267.200000000001</v>
      </c>
      <c r="F14" s="73">
        <f>Rooms!H14</f>
        <v>9753.1107954545441</v>
      </c>
      <c r="G14" s="73">
        <f>Rooms!I14</f>
        <v>10399.498538961041</v>
      </c>
      <c r="H14" s="73">
        <f>Rooms!J14</f>
        <v>8839.5216720779208</v>
      </c>
      <c r="I14" s="73">
        <f>Rooms!K14</f>
        <v>11305.795616883119</v>
      </c>
      <c r="J14" s="73">
        <f>Rooms!L14</f>
        <v>11571.955275974022</v>
      </c>
      <c r="K14" s="73">
        <f>Rooms!M14</f>
        <v>11747.485227272731</v>
      </c>
      <c r="L14" s="73">
        <f>Rooms!N14</f>
        <v>11759.98587662337</v>
      </c>
      <c r="M14" s="73">
        <f>Rooms!O14</f>
        <v>11569.350974025976</v>
      </c>
      <c r="N14" s="73">
        <f>Rooms!P14</f>
        <v>11571.434415584412</v>
      </c>
      <c r="O14" s="73">
        <f>Rooms!Q14</f>
        <v>10384.914448051952</v>
      </c>
      <c r="P14" s="73">
        <f>Rooms!R14</f>
        <v>10950.047970779224</v>
      </c>
      <c r="Q14" s="75">
        <f>SUM(E14:P14)</f>
        <v>130120.3008116883</v>
      </c>
    </row>
    <row r="17" spans="2:18">
      <c r="B17" s="367" t="s">
        <v>338</v>
      </c>
      <c r="C17" s="368"/>
      <c r="D17" s="368"/>
      <c r="E17" s="368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</row>
    <row r="18" spans="2:18">
      <c r="B18" s="370"/>
      <c r="C18" s="368"/>
      <c r="D18" s="368"/>
      <c r="E18" s="368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</row>
    <row r="19" spans="2:18">
      <c r="B19" s="371" t="s">
        <v>330</v>
      </c>
      <c r="C19" s="372"/>
      <c r="D19" s="372"/>
      <c r="E19" s="372"/>
      <c r="F19" s="373"/>
      <c r="G19" s="373"/>
      <c r="H19" s="373"/>
      <c r="I19" s="373"/>
      <c r="J19" s="373"/>
      <c r="K19" s="373"/>
      <c r="L19" s="373"/>
      <c r="M19" s="373"/>
      <c r="N19" s="373"/>
      <c r="O19" s="373"/>
      <c r="P19" s="373"/>
      <c r="Q19" s="374"/>
      <c r="R19" s="369"/>
    </row>
    <row r="20" spans="2:18">
      <c r="B20" s="375" t="s">
        <v>339</v>
      </c>
      <c r="C20" s="368"/>
      <c r="D20" s="368"/>
      <c r="E20" s="376">
        <v>50</v>
      </c>
      <c r="F20" s="376">
        <v>50</v>
      </c>
      <c r="G20" s="376">
        <v>50</v>
      </c>
      <c r="H20" s="376">
        <v>50</v>
      </c>
      <c r="I20" s="376">
        <v>50</v>
      </c>
      <c r="J20" s="376">
        <v>50</v>
      </c>
      <c r="K20" s="376">
        <v>50</v>
      </c>
      <c r="L20" s="376">
        <v>50</v>
      </c>
      <c r="M20" s="376">
        <v>50</v>
      </c>
      <c r="N20" s="376">
        <v>50</v>
      </c>
      <c r="O20" s="376">
        <v>50</v>
      </c>
      <c r="P20" s="376">
        <v>50</v>
      </c>
      <c r="Q20" s="377">
        <v>50</v>
      </c>
      <c r="R20" s="246"/>
    </row>
    <row r="21" spans="2:18">
      <c r="B21" s="378" t="s">
        <v>340</v>
      </c>
      <c r="C21" s="368"/>
      <c r="D21" s="368"/>
      <c r="E21" s="379">
        <f t="shared" ref="E21:P21" si="1">E14</f>
        <v>10267.200000000001</v>
      </c>
      <c r="F21" s="379">
        <f t="shared" si="1"/>
        <v>9753.1107954545441</v>
      </c>
      <c r="G21" s="379">
        <f t="shared" si="1"/>
        <v>10399.498538961041</v>
      </c>
      <c r="H21" s="379">
        <f t="shared" si="1"/>
        <v>8839.5216720779208</v>
      </c>
      <c r="I21" s="379">
        <f t="shared" si="1"/>
        <v>11305.795616883119</v>
      </c>
      <c r="J21" s="379">
        <f t="shared" si="1"/>
        <v>11571.955275974022</v>
      </c>
      <c r="K21" s="379">
        <f t="shared" si="1"/>
        <v>11747.485227272731</v>
      </c>
      <c r="L21" s="379">
        <f t="shared" si="1"/>
        <v>11759.98587662337</v>
      </c>
      <c r="M21" s="379">
        <f t="shared" si="1"/>
        <v>11569.350974025976</v>
      </c>
      <c r="N21" s="379">
        <f t="shared" si="1"/>
        <v>11571.434415584412</v>
      </c>
      <c r="O21" s="379">
        <f t="shared" si="1"/>
        <v>10384.914448051952</v>
      </c>
      <c r="P21" s="379">
        <f t="shared" si="1"/>
        <v>10950.047970779224</v>
      </c>
      <c r="Q21" s="380">
        <f>SUM(E21:P21)</f>
        <v>130120.3008116883</v>
      </c>
      <c r="R21" s="246"/>
    </row>
    <row r="22" spans="2:18">
      <c r="B22" s="375" t="s">
        <v>341</v>
      </c>
      <c r="C22" s="368"/>
      <c r="D22" s="368"/>
      <c r="E22" s="381">
        <f>E20*E21</f>
        <v>513360.00000000006</v>
      </c>
      <c r="F22" s="381">
        <f>F20*F21</f>
        <v>487655.53977272718</v>
      </c>
      <c r="G22" s="381">
        <f t="shared" ref="G22:P22" si="2">G20*G21</f>
        <v>519974.92694805207</v>
      </c>
      <c r="H22" s="381">
        <f t="shared" si="2"/>
        <v>441976.08360389603</v>
      </c>
      <c r="I22" s="381">
        <f t="shared" si="2"/>
        <v>565289.78084415593</v>
      </c>
      <c r="J22" s="381">
        <f t="shared" si="2"/>
        <v>578597.76379870111</v>
      </c>
      <c r="K22" s="381">
        <f t="shared" si="2"/>
        <v>587374.26136363659</v>
      </c>
      <c r="L22" s="381">
        <f t="shared" si="2"/>
        <v>587999.29383116856</v>
      </c>
      <c r="M22" s="381">
        <f t="shared" si="2"/>
        <v>578467.54870129877</v>
      </c>
      <c r="N22" s="381">
        <f t="shared" si="2"/>
        <v>578571.72077922057</v>
      </c>
      <c r="O22" s="381">
        <f t="shared" si="2"/>
        <v>519245.7224025976</v>
      </c>
      <c r="P22" s="381">
        <f t="shared" si="2"/>
        <v>547502.39853896119</v>
      </c>
      <c r="Q22" s="380">
        <f>SUM(E22:P22)</f>
        <v>6506015.0405844152</v>
      </c>
      <c r="R22" s="246"/>
    </row>
    <row r="23" spans="2:18">
      <c r="B23" s="375"/>
      <c r="C23" s="368"/>
      <c r="D23" s="368"/>
      <c r="E23" s="368"/>
      <c r="F23" s="381"/>
      <c r="G23" s="381"/>
      <c r="H23" s="381"/>
      <c r="I23" s="381"/>
      <c r="J23" s="381"/>
      <c r="K23" s="379"/>
      <c r="L23" s="379"/>
      <c r="M23" s="379"/>
      <c r="N23" s="381"/>
      <c r="O23" s="381"/>
      <c r="P23" s="381"/>
      <c r="Q23" s="382"/>
      <c r="R23" s="246"/>
    </row>
    <row r="24" spans="2:18">
      <c r="B24" s="375" t="s">
        <v>342</v>
      </c>
      <c r="C24" s="368"/>
      <c r="D24" s="368"/>
      <c r="E24" s="383">
        <v>0.5</v>
      </c>
      <c r="F24" s="383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84"/>
      <c r="R24" s="368"/>
    </row>
    <row r="25" spans="2:18">
      <c r="B25" s="385" t="s">
        <v>7</v>
      </c>
      <c r="C25" s="386"/>
      <c r="D25" s="386"/>
      <c r="E25" s="387">
        <f t="shared" ref="E25:P25" si="3">$E$24*E22</f>
        <v>256680.00000000003</v>
      </c>
      <c r="F25" s="387">
        <f t="shared" si="3"/>
        <v>243827.76988636359</v>
      </c>
      <c r="G25" s="387">
        <f t="shared" si="3"/>
        <v>259987.46347402604</v>
      </c>
      <c r="H25" s="387">
        <f t="shared" si="3"/>
        <v>220988.04180194801</v>
      </c>
      <c r="I25" s="387">
        <f t="shared" si="3"/>
        <v>282644.89042207797</v>
      </c>
      <c r="J25" s="387">
        <f t="shared" si="3"/>
        <v>289298.88189935056</v>
      </c>
      <c r="K25" s="387">
        <f t="shared" si="3"/>
        <v>293687.13068181829</v>
      </c>
      <c r="L25" s="387">
        <f t="shared" si="3"/>
        <v>293999.64691558428</v>
      </c>
      <c r="M25" s="387">
        <f t="shared" si="3"/>
        <v>289233.77435064939</v>
      </c>
      <c r="N25" s="387">
        <f t="shared" si="3"/>
        <v>289285.86038961029</v>
      </c>
      <c r="O25" s="387">
        <f t="shared" si="3"/>
        <v>259622.8612012988</v>
      </c>
      <c r="P25" s="387">
        <f t="shared" si="3"/>
        <v>273751.1992694806</v>
      </c>
      <c r="Q25" s="388">
        <f>SUM(E25:P25)</f>
        <v>3253007.5202922076</v>
      </c>
      <c r="R25" s="246"/>
    </row>
    <row r="28" spans="2:18">
      <c r="B28" s="367" t="s">
        <v>343</v>
      </c>
    </row>
    <row r="30" spans="2:18">
      <c r="B30" s="341" t="s">
        <v>289</v>
      </c>
      <c r="C30" s="389"/>
      <c r="D30" s="390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342"/>
    </row>
    <row r="31" spans="2:18">
      <c r="B31" s="356"/>
      <c r="C31" s="391" t="s">
        <v>246</v>
      </c>
      <c r="D31" s="392" t="s">
        <v>286</v>
      </c>
      <c r="Q31" s="71"/>
    </row>
    <row r="32" spans="2:18">
      <c r="B32" s="66" t="s">
        <v>278</v>
      </c>
      <c r="C32" s="393">
        <f>D32*3.30578</f>
        <v>0</v>
      </c>
      <c r="D32" s="394">
        <v>0</v>
      </c>
      <c r="Q32" s="71"/>
    </row>
    <row r="33" spans="2:19">
      <c r="B33" s="66" t="s">
        <v>288</v>
      </c>
      <c r="C33" s="381"/>
      <c r="D33" s="395">
        <v>0</v>
      </c>
      <c r="E33" s="396">
        <f t="shared" ref="E33:P33" si="4">$D$32*$D$33</f>
        <v>0</v>
      </c>
      <c r="F33" s="396">
        <f t="shared" si="4"/>
        <v>0</v>
      </c>
      <c r="G33" s="396">
        <f t="shared" si="4"/>
        <v>0</v>
      </c>
      <c r="H33" s="396">
        <f t="shared" si="4"/>
        <v>0</v>
      </c>
      <c r="I33" s="396">
        <f t="shared" si="4"/>
        <v>0</v>
      </c>
      <c r="J33" s="396">
        <f t="shared" si="4"/>
        <v>0</v>
      </c>
      <c r="K33" s="396">
        <f t="shared" si="4"/>
        <v>0</v>
      </c>
      <c r="L33" s="396">
        <f t="shared" si="4"/>
        <v>0</v>
      </c>
      <c r="M33" s="396">
        <f t="shared" si="4"/>
        <v>0</v>
      </c>
      <c r="N33" s="396">
        <f t="shared" si="4"/>
        <v>0</v>
      </c>
      <c r="O33" s="396">
        <f t="shared" si="4"/>
        <v>0</v>
      </c>
      <c r="P33" s="396">
        <f t="shared" si="4"/>
        <v>0</v>
      </c>
      <c r="Q33" s="397">
        <f>SUM(E33:P33)</f>
        <v>0</v>
      </c>
    </row>
    <row r="34" spans="2:19">
      <c r="B34" s="66" t="s">
        <v>287</v>
      </c>
      <c r="D34" s="398">
        <v>0</v>
      </c>
      <c r="E34" s="396">
        <f>$D$34*E33</f>
        <v>0</v>
      </c>
      <c r="F34" s="396">
        <f t="shared" ref="F34:P34" si="5">$D$34*F33</f>
        <v>0</v>
      </c>
      <c r="G34" s="396">
        <f t="shared" si="5"/>
        <v>0</v>
      </c>
      <c r="H34" s="396">
        <f t="shared" si="5"/>
        <v>0</v>
      </c>
      <c r="I34" s="396">
        <f t="shared" si="5"/>
        <v>0</v>
      </c>
      <c r="J34" s="396">
        <f t="shared" si="5"/>
        <v>0</v>
      </c>
      <c r="K34" s="396">
        <f t="shared" si="5"/>
        <v>0</v>
      </c>
      <c r="L34" s="396">
        <f t="shared" si="5"/>
        <v>0</v>
      </c>
      <c r="M34" s="396">
        <f t="shared" si="5"/>
        <v>0</v>
      </c>
      <c r="N34" s="396">
        <f t="shared" si="5"/>
        <v>0</v>
      </c>
      <c r="O34" s="396">
        <f t="shared" si="5"/>
        <v>0</v>
      </c>
      <c r="P34" s="396">
        <f t="shared" si="5"/>
        <v>0</v>
      </c>
      <c r="Q34" s="399">
        <f>SUM(E34:P34)</f>
        <v>0</v>
      </c>
      <c r="S34" s="396"/>
    </row>
    <row r="35" spans="2:19">
      <c r="B35" s="72"/>
      <c r="C35" s="89"/>
      <c r="D35" s="89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5"/>
    </row>
    <row r="37" spans="2:19">
      <c r="B37" s="341" t="s">
        <v>290</v>
      </c>
      <c r="C37" s="389"/>
      <c r="D37" s="390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342"/>
    </row>
    <row r="38" spans="2:19">
      <c r="B38" s="356"/>
      <c r="C38" s="391" t="s">
        <v>246</v>
      </c>
      <c r="D38" s="392" t="s">
        <v>286</v>
      </c>
      <c r="Q38" s="71"/>
    </row>
    <row r="39" spans="2:19">
      <c r="B39" s="66" t="s">
        <v>278</v>
      </c>
      <c r="C39" s="393">
        <f>D39*3.30578</f>
        <v>0</v>
      </c>
      <c r="D39" s="394">
        <v>0</v>
      </c>
      <c r="Q39" s="71"/>
    </row>
    <row r="40" spans="2:19">
      <c r="B40" s="66" t="s">
        <v>288</v>
      </c>
      <c r="C40" s="381"/>
      <c r="D40" s="395">
        <v>0</v>
      </c>
      <c r="E40" s="396">
        <f>$D$39*$D$40</f>
        <v>0</v>
      </c>
      <c r="F40" s="396">
        <f t="shared" ref="F40:P40" si="6">$D$39*$D$40</f>
        <v>0</v>
      </c>
      <c r="G40" s="396">
        <f t="shared" si="6"/>
        <v>0</v>
      </c>
      <c r="H40" s="396">
        <f t="shared" si="6"/>
        <v>0</v>
      </c>
      <c r="I40" s="396">
        <f t="shared" si="6"/>
        <v>0</v>
      </c>
      <c r="J40" s="396">
        <f t="shared" si="6"/>
        <v>0</v>
      </c>
      <c r="K40" s="396">
        <f t="shared" si="6"/>
        <v>0</v>
      </c>
      <c r="L40" s="396">
        <f t="shared" si="6"/>
        <v>0</v>
      </c>
      <c r="M40" s="396">
        <f t="shared" si="6"/>
        <v>0</v>
      </c>
      <c r="N40" s="396">
        <f t="shared" si="6"/>
        <v>0</v>
      </c>
      <c r="O40" s="396">
        <f t="shared" si="6"/>
        <v>0</v>
      </c>
      <c r="P40" s="396">
        <f t="shared" si="6"/>
        <v>0</v>
      </c>
      <c r="Q40" s="397">
        <f>SUM(E40:P40)</f>
        <v>0</v>
      </c>
    </row>
    <row r="41" spans="2:19">
      <c r="B41" s="66" t="s">
        <v>287</v>
      </c>
      <c r="D41" s="398">
        <v>0</v>
      </c>
      <c r="E41" s="396">
        <f>$D$41*E40</f>
        <v>0</v>
      </c>
      <c r="F41" s="396">
        <f t="shared" ref="F41:P41" si="7">$D$41*F40</f>
        <v>0</v>
      </c>
      <c r="G41" s="396">
        <f t="shared" si="7"/>
        <v>0</v>
      </c>
      <c r="H41" s="396">
        <f t="shared" si="7"/>
        <v>0</v>
      </c>
      <c r="I41" s="396">
        <f t="shared" si="7"/>
        <v>0</v>
      </c>
      <c r="J41" s="396">
        <f t="shared" si="7"/>
        <v>0</v>
      </c>
      <c r="K41" s="396">
        <f t="shared" si="7"/>
        <v>0</v>
      </c>
      <c r="L41" s="396">
        <f t="shared" si="7"/>
        <v>0</v>
      </c>
      <c r="M41" s="396">
        <f t="shared" si="7"/>
        <v>0</v>
      </c>
      <c r="N41" s="396">
        <f t="shared" si="7"/>
        <v>0</v>
      </c>
      <c r="O41" s="396">
        <f t="shared" si="7"/>
        <v>0</v>
      </c>
      <c r="P41" s="396">
        <f t="shared" si="7"/>
        <v>0</v>
      </c>
      <c r="Q41" s="399">
        <f>SUM(E41:P41)</f>
        <v>0</v>
      </c>
    </row>
    <row r="42" spans="2:19">
      <c r="B42" s="72"/>
      <c r="C42" s="89"/>
      <c r="D42" s="89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5"/>
    </row>
    <row r="44" spans="2:19">
      <c r="B44" s="341" t="s">
        <v>291</v>
      </c>
      <c r="C44" s="389"/>
      <c r="D44" s="390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342"/>
    </row>
    <row r="45" spans="2:19">
      <c r="B45" s="356"/>
      <c r="C45" s="391" t="s">
        <v>246</v>
      </c>
      <c r="D45" s="392" t="s">
        <v>286</v>
      </c>
      <c r="Q45" s="71"/>
    </row>
    <row r="46" spans="2:19">
      <c r="B46" s="66" t="s">
        <v>278</v>
      </c>
      <c r="C46" s="393">
        <f>D46*3.30578</f>
        <v>0</v>
      </c>
      <c r="D46" s="394">
        <v>0</v>
      </c>
      <c r="Q46" s="71"/>
    </row>
    <row r="47" spans="2:19">
      <c r="B47" s="66" t="s">
        <v>288</v>
      </c>
      <c r="C47" s="381"/>
      <c r="D47" s="395">
        <v>0</v>
      </c>
      <c r="E47" s="396">
        <f>$D$46*$D$47</f>
        <v>0</v>
      </c>
      <c r="F47" s="396">
        <f t="shared" ref="F47:P47" si="8">$D$46*$D$47</f>
        <v>0</v>
      </c>
      <c r="G47" s="396">
        <f t="shared" si="8"/>
        <v>0</v>
      </c>
      <c r="H47" s="396">
        <f t="shared" si="8"/>
        <v>0</v>
      </c>
      <c r="I47" s="396">
        <f t="shared" si="8"/>
        <v>0</v>
      </c>
      <c r="J47" s="396">
        <f t="shared" si="8"/>
        <v>0</v>
      </c>
      <c r="K47" s="396">
        <f t="shared" si="8"/>
        <v>0</v>
      </c>
      <c r="L47" s="396">
        <f t="shared" si="8"/>
        <v>0</v>
      </c>
      <c r="M47" s="396">
        <f t="shared" si="8"/>
        <v>0</v>
      </c>
      <c r="N47" s="396">
        <f t="shared" si="8"/>
        <v>0</v>
      </c>
      <c r="O47" s="396">
        <f t="shared" si="8"/>
        <v>0</v>
      </c>
      <c r="P47" s="396">
        <f t="shared" si="8"/>
        <v>0</v>
      </c>
      <c r="Q47" s="397">
        <f>SUM(E47:P47)</f>
        <v>0</v>
      </c>
    </row>
    <row r="48" spans="2:19">
      <c r="B48" s="66" t="s">
        <v>287</v>
      </c>
      <c r="D48" s="398">
        <v>0</v>
      </c>
      <c r="E48" s="396">
        <f>$D$48*E47</f>
        <v>0</v>
      </c>
      <c r="F48" s="396">
        <f t="shared" ref="F48:P48" si="9">$D$48*F47</f>
        <v>0</v>
      </c>
      <c r="G48" s="396">
        <f t="shared" si="9"/>
        <v>0</v>
      </c>
      <c r="H48" s="396">
        <f t="shared" si="9"/>
        <v>0</v>
      </c>
      <c r="I48" s="396">
        <f t="shared" si="9"/>
        <v>0</v>
      </c>
      <c r="J48" s="396">
        <f t="shared" si="9"/>
        <v>0</v>
      </c>
      <c r="K48" s="396">
        <f t="shared" si="9"/>
        <v>0</v>
      </c>
      <c r="L48" s="396">
        <f t="shared" si="9"/>
        <v>0</v>
      </c>
      <c r="M48" s="396">
        <f t="shared" si="9"/>
        <v>0</v>
      </c>
      <c r="N48" s="396">
        <f t="shared" si="9"/>
        <v>0</v>
      </c>
      <c r="O48" s="396">
        <f t="shared" si="9"/>
        <v>0</v>
      </c>
      <c r="P48" s="396">
        <f t="shared" si="9"/>
        <v>0</v>
      </c>
      <c r="Q48" s="399">
        <f>SUM(E48:P48)</f>
        <v>0</v>
      </c>
    </row>
    <row r="49" spans="2:17">
      <c r="B49" s="72"/>
      <c r="C49" s="89"/>
      <c r="D49" s="89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5"/>
    </row>
    <row r="52" spans="2:17">
      <c r="B52" s="367" t="s">
        <v>344</v>
      </c>
    </row>
    <row r="54" spans="2:17">
      <c r="B54" s="341" t="s">
        <v>292</v>
      </c>
      <c r="C54" s="389"/>
      <c r="D54" s="390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342"/>
    </row>
    <row r="55" spans="2:17">
      <c r="B55" s="356"/>
      <c r="C55" s="391"/>
      <c r="D55" s="392" t="s">
        <v>286</v>
      </c>
      <c r="Q55" s="71"/>
    </row>
    <row r="56" spans="2:17">
      <c r="B56" s="66" t="s">
        <v>293</v>
      </c>
      <c r="C56" s="393"/>
      <c r="D56" s="395">
        <v>48</v>
      </c>
      <c r="Q56" s="71"/>
    </row>
    <row r="57" spans="2:17">
      <c r="B57" s="66" t="s">
        <v>294</v>
      </c>
      <c r="C57" s="381"/>
      <c r="D57" s="400">
        <v>1500</v>
      </c>
      <c r="E57" s="396">
        <f t="shared" ref="E57:P57" si="10">$D$56*$D$57*E8</f>
        <v>2232000</v>
      </c>
      <c r="F57" s="396">
        <f t="shared" si="10"/>
        <v>2016000</v>
      </c>
      <c r="G57" s="396">
        <f t="shared" si="10"/>
        <v>2232000</v>
      </c>
      <c r="H57" s="396">
        <f t="shared" si="10"/>
        <v>2160000</v>
      </c>
      <c r="I57" s="396">
        <f t="shared" si="10"/>
        <v>2232000</v>
      </c>
      <c r="J57" s="396">
        <f t="shared" si="10"/>
        <v>2160000</v>
      </c>
      <c r="K57" s="396">
        <f t="shared" si="10"/>
        <v>2232000</v>
      </c>
      <c r="L57" s="396">
        <f t="shared" si="10"/>
        <v>2232000</v>
      </c>
      <c r="M57" s="396">
        <f t="shared" si="10"/>
        <v>2160000</v>
      </c>
      <c r="N57" s="396">
        <f t="shared" si="10"/>
        <v>2232000</v>
      </c>
      <c r="O57" s="396">
        <f t="shared" si="10"/>
        <v>2160000</v>
      </c>
      <c r="P57" s="396">
        <f t="shared" si="10"/>
        <v>2232000</v>
      </c>
      <c r="Q57" s="397">
        <f>SUM(E57:P57)</f>
        <v>26280000</v>
      </c>
    </row>
    <row r="58" spans="2:17">
      <c r="B58" s="66" t="s">
        <v>287</v>
      </c>
      <c r="D58" s="401">
        <v>0.5</v>
      </c>
      <c r="E58" s="396">
        <f>$D$58*E57</f>
        <v>1116000</v>
      </c>
      <c r="F58" s="396">
        <f t="shared" ref="F58:P58" si="11">$D$58*F57</f>
        <v>1008000</v>
      </c>
      <c r="G58" s="396">
        <f t="shared" si="11"/>
        <v>1116000</v>
      </c>
      <c r="H58" s="396">
        <f t="shared" si="11"/>
        <v>1080000</v>
      </c>
      <c r="I58" s="396">
        <f t="shared" si="11"/>
        <v>1116000</v>
      </c>
      <c r="J58" s="396">
        <f t="shared" si="11"/>
        <v>1080000</v>
      </c>
      <c r="K58" s="396">
        <f t="shared" si="11"/>
        <v>1116000</v>
      </c>
      <c r="L58" s="396">
        <f t="shared" si="11"/>
        <v>1116000</v>
      </c>
      <c r="M58" s="396">
        <f t="shared" si="11"/>
        <v>1080000</v>
      </c>
      <c r="N58" s="396">
        <f t="shared" si="11"/>
        <v>1116000</v>
      </c>
      <c r="O58" s="396">
        <f t="shared" si="11"/>
        <v>1080000</v>
      </c>
      <c r="P58" s="396">
        <f t="shared" si="11"/>
        <v>1116000</v>
      </c>
      <c r="Q58" s="399">
        <f>SUM(E58:P58)</f>
        <v>13140000</v>
      </c>
    </row>
    <row r="59" spans="2:17">
      <c r="B59" s="72"/>
      <c r="C59" s="89"/>
      <c r="D59" s="89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5"/>
    </row>
    <row r="60" spans="2:17">
      <c r="F60" s="1"/>
    </row>
    <row r="62" spans="2:17"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</row>
    <row r="64" spans="2:17">
      <c r="B64" s="58" t="s">
        <v>92</v>
      </c>
      <c r="C64" s="402"/>
      <c r="E64" s="95" t="s">
        <v>93</v>
      </c>
      <c r="F64" s="95" t="s">
        <v>94</v>
      </c>
      <c r="G64" s="95" t="s">
        <v>95</v>
      </c>
      <c r="H64" s="95" t="s">
        <v>96</v>
      </c>
      <c r="I64" s="95" t="s">
        <v>97</v>
      </c>
      <c r="J64" s="96" t="s">
        <v>98</v>
      </c>
      <c r="K64" s="96" t="s">
        <v>99</v>
      </c>
      <c r="L64" s="96" t="s">
        <v>208</v>
      </c>
      <c r="M64" s="96" t="s">
        <v>101</v>
      </c>
      <c r="O64" s="96" t="s">
        <v>102</v>
      </c>
    </row>
    <row r="65" spans="2:16">
      <c r="B65" s="125" t="s">
        <v>279</v>
      </c>
      <c r="C65" s="403" t="s">
        <v>280</v>
      </c>
      <c r="D65" s="98" t="s">
        <v>116</v>
      </c>
      <c r="E65" s="99">
        <v>0</v>
      </c>
      <c r="F65" s="100">
        <f>+E65*0.16</f>
        <v>0</v>
      </c>
      <c r="G65" s="101">
        <v>0</v>
      </c>
      <c r="H65" s="101">
        <v>0</v>
      </c>
      <c r="I65" s="100">
        <f>+(E65*2)/12</f>
        <v>0</v>
      </c>
      <c r="J65" s="100">
        <f>+I65*0.16</f>
        <v>0</v>
      </c>
      <c r="K65" s="100">
        <f>F65+G65+H65+J65</f>
        <v>0</v>
      </c>
      <c r="L65" s="102">
        <f>K65+E65+I65</f>
        <v>0</v>
      </c>
      <c r="M65" s="102">
        <f>L65*12</f>
        <v>0</v>
      </c>
      <c r="O65" s="404">
        <f>L65*E75</f>
        <v>0</v>
      </c>
    </row>
    <row r="66" spans="2:16">
      <c r="B66" s="104" t="s">
        <v>5</v>
      </c>
      <c r="C66" s="405" t="s">
        <v>108</v>
      </c>
      <c r="D66" s="105" t="s">
        <v>109</v>
      </c>
      <c r="E66" s="106">
        <v>0</v>
      </c>
      <c r="F66" s="107">
        <f t="shared" ref="F66:F69" si="12">+E66*0.16</f>
        <v>0</v>
      </c>
      <c r="G66" s="94">
        <v>0</v>
      </c>
      <c r="H66" s="94">
        <f>H65</f>
        <v>0</v>
      </c>
      <c r="I66" s="107">
        <f t="shared" ref="I66:I68" si="13">+(E66*2)/12</f>
        <v>0</v>
      </c>
      <c r="J66" s="107">
        <f t="shared" ref="J66:J69" si="14">+I66*0.16</f>
        <v>0</v>
      </c>
      <c r="K66" s="107">
        <f t="shared" ref="K66:K69" si="15">F66+G66+H66+J66</f>
        <v>0</v>
      </c>
      <c r="L66" s="108">
        <f t="shared" ref="L66:L69" si="16">K66+E66+I66</f>
        <v>0</v>
      </c>
      <c r="M66" s="108">
        <f t="shared" ref="M66:M69" si="17">L66*12</f>
        <v>0</v>
      </c>
      <c r="O66" s="109">
        <f t="shared" ref="O66:O69" si="18">L66*E76</f>
        <v>0</v>
      </c>
    </row>
    <row r="67" spans="2:16">
      <c r="B67" s="104" t="s">
        <v>5</v>
      </c>
      <c r="C67" s="405" t="s">
        <v>282</v>
      </c>
      <c r="D67" s="105" t="s">
        <v>284</v>
      </c>
      <c r="E67" s="106">
        <v>0</v>
      </c>
      <c r="F67" s="107">
        <f t="shared" si="12"/>
        <v>0</v>
      </c>
      <c r="G67" s="94">
        <v>0</v>
      </c>
      <c r="H67" s="94">
        <f t="shared" ref="G67:H69" si="19">H66</f>
        <v>0</v>
      </c>
      <c r="I67" s="107">
        <f t="shared" si="13"/>
        <v>0</v>
      </c>
      <c r="J67" s="107">
        <f t="shared" si="14"/>
        <v>0</v>
      </c>
      <c r="K67" s="107">
        <f t="shared" si="15"/>
        <v>0</v>
      </c>
      <c r="L67" s="108">
        <f t="shared" si="16"/>
        <v>0</v>
      </c>
      <c r="M67" s="108">
        <f t="shared" si="17"/>
        <v>0</v>
      </c>
      <c r="O67" s="109">
        <f t="shared" si="18"/>
        <v>0</v>
      </c>
    </row>
    <row r="68" spans="2:16">
      <c r="B68" s="104" t="s">
        <v>5</v>
      </c>
      <c r="C68" s="405" t="s">
        <v>283</v>
      </c>
      <c r="D68" s="105" t="s">
        <v>285</v>
      </c>
      <c r="E68" s="106">
        <v>0</v>
      </c>
      <c r="F68" s="107">
        <f t="shared" si="12"/>
        <v>0</v>
      </c>
      <c r="G68" s="94">
        <f t="shared" si="19"/>
        <v>0</v>
      </c>
      <c r="H68" s="94">
        <f t="shared" si="19"/>
        <v>0</v>
      </c>
      <c r="I68" s="107">
        <f t="shared" si="13"/>
        <v>0</v>
      </c>
      <c r="J68" s="107">
        <f t="shared" si="14"/>
        <v>0</v>
      </c>
      <c r="K68" s="107">
        <f t="shared" si="15"/>
        <v>0</v>
      </c>
      <c r="L68" s="108">
        <f t="shared" si="16"/>
        <v>0</v>
      </c>
      <c r="M68" s="108">
        <f t="shared" si="17"/>
        <v>0</v>
      </c>
      <c r="O68" s="109">
        <f t="shared" si="18"/>
        <v>0</v>
      </c>
    </row>
    <row r="69" spans="2:16">
      <c r="B69" s="104" t="s">
        <v>5</v>
      </c>
      <c r="C69" s="406" t="s">
        <v>281</v>
      </c>
      <c r="D69" s="110" t="s">
        <v>114</v>
      </c>
      <c r="E69" s="106">
        <v>0</v>
      </c>
      <c r="F69" s="107">
        <f t="shared" si="12"/>
        <v>0</v>
      </c>
      <c r="G69" s="94">
        <f t="shared" si="19"/>
        <v>0</v>
      </c>
      <c r="H69" s="94">
        <f t="shared" si="19"/>
        <v>0</v>
      </c>
      <c r="I69" s="107">
        <f>+(E69*0)/12</f>
        <v>0</v>
      </c>
      <c r="J69" s="107">
        <f t="shared" si="14"/>
        <v>0</v>
      </c>
      <c r="K69" s="107">
        <f t="shared" si="15"/>
        <v>0</v>
      </c>
      <c r="L69" s="108">
        <f t="shared" si="16"/>
        <v>0</v>
      </c>
      <c r="M69" s="108">
        <f t="shared" si="17"/>
        <v>0</v>
      </c>
      <c r="O69" s="109">
        <f t="shared" si="18"/>
        <v>0</v>
      </c>
    </row>
    <row r="70" spans="2:16">
      <c r="B70" s="112"/>
      <c r="C70" s="406"/>
      <c r="D70" s="110"/>
      <c r="E70" s="106"/>
      <c r="F70" s="107"/>
      <c r="G70" s="94"/>
      <c r="H70" s="94"/>
      <c r="I70" s="107"/>
      <c r="J70" s="107"/>
      <c r="K70" s="107"/>
      <c r="L70" s="108"/>
      <c r="M70" s="108"/>
      <c r="O70" s="113"/>
    </row>
    <row r="71" spans="2:16">
      <c r="B71" s="133" t="s">
        <v>35</v>
      </c>
      <c r="C71" s="407"/>
      <c r="D71" s="408"/>
      <c r="E71" s="409"/>
      <c r="F71" s="410"/>
      <c r="G71" s="411"/>
      <c r="H71" s="411"/>
      <c r="I71" s="410"/>
      <c r="J71" s="410"/>
      <c r="K71" s="410"/>
      <c r="L71" s="412"/>
      <c r="M71" s="120"/>
      <c r="O71" s="121">
        <f>SUM(O65:O69)</f>
        <v>0</v>
      </c>
    </row>
    <row r="72" spans="2:16">
      <c r="E72" s="94"/>
      <c r="F72" s="107"/>
      <c r="G72" s="94"/>
      <c r="H72" s="94"/>
      <c r="I72" s="107"/>
      <c r="J72" s="107"/>
      <c r="K72" s="107"/>
      <c r="L72" s="107"/>
    </row>
    <row r="73" spans="2:16">
      <c r="E73" s="94"/>
      <c r="F73" s="107"/>
      <c r="G73" s="94"/>
      <c r="H73" s="94"/>
      <c r="I73" s="107"/>
      <c r="J73" s="107"/>
      <c r="K73" s="107"/>
      <c r="L73" s="107"/>
    </row>
    <row r="74" spans="2:16">
      <c r="B74" s="5" t="s">
        <v>118</v>
      </c>
      <c r="C74" s="402"/>
      <c r="E74" s="84" t="s">
        <v>30</v>
      </c>
      <c r="F74" s="84" t="s">
        <v>31</v>
      </c>
      <c r="G74" s="84" t="s">
        <v>32</v>
      </c>
      <c r="H74" s="84" t="s">
        <v>33</v>
      </c>
      <c r="I74" s="84" t="s">
        <v>34</v>
      </c>
      <c r="K74" s="58" t="s">
        <v>119</v>
      </c>
      <c r="L74" s="84" t="s">
        <v>30</v>
      </c>
      <c r="M74" s="84" t="s">
        <v>31</v>
      </c>
      <c r="N74" s="84" t="s">
        <v>32</v>
      </c>
      <c r="O74" s="84" t="s">
        <v>33</v>
      </c>
      <c r="P74" s="84" t="s">
        <v>34</v>
      </c>
    </row>
    <row r="75" spans="2:16">
      <c r="B75" s="125" t="s">
        <v>279</v>
      </c>
      <c r="C75" s="403" t="s">
        <v>280</v>
      </c>
      <c r="D75" s="98" t="s">
        <v>116</v>
      </c>
      <c r="E75" s="123">
        <v>0</v>
      </c>
      <c r="F75" s="123">
        <f>E75</f>
        <v>0</v>
      </c>
      <c r="G75" s="123">
        <f t="shared" ref="G75:I75" si="20">F75</f>
        <v>0</v>
      </c>
      <c r="H75" s="123">
        <f t="shared" si="20"/>
        <v>0</v>
      </c>
      <c r="I75" s="124">
        <f t="shared" si="20"/>
        <v>0</v>
      </c>
      <c r="K75" s="125" t="s">
        <v>120</v>
      </c>
      <c r="L75" s="126">
        <f>L77-L76</f>
        <v>0</v>
      </c>
      <c r="M75" s="126">
        <f t="shared" ref="M75:P75" si="21">M77-M76</f>
        <v>0</v>
      </c>
      <c r="N75" s="126">
        <f t="shared" si="21"/>
        <v>0</v>
      </c>
      <c r="O75" s="126">
        <f t="shared" si="21"/>
        <v>0</v>
      </c>
      <c r="P75" s="127">
        <f t="shared" si="21"/>
        <v>0</v>
      </c>
    </row>
    <row r="76" spans="2:16">
      <c r="B76" s="104" t="s">
        <v>5</v>
      </c>
      <c r="C76" s="405" t="s">
        <v>108</v>
      </c>
      <c r="D76" s="105" t="s">
        <v>109</v>
      </c>
      <c r="E76" s="129">
        <v>0</v>
      </c>
      <c r="F76" s="129">
        <f>E76</f>
        <v>0</v>
      </c>
      <c r="G76" s="129">
        <f t="shared" ref="G76:I76" si="22">F76</f>
        <v>0</v>
      </c>
      <c r="H76" s="129">
        <f t="shared" si="22"/>
        <v>0</v>
      </c>
      <c r="I76" s="130">
        <f t="shared" si="22"/>
        <v>0</v>
      </c>
      <c r="K76" s="104" t="s">
        <v>121</v>
      </c>
      <c r="L76" s="131">
        <f>E79</f>
        <v>0</v>
      </c>
      <c r="M76" s="131">
        <f t="shared" ref="M76:P76" si="23">F79</f>
        <v>0</v>
      </c>
      <c r="N76" s="131">
        <f t="shared" si="23"/>
        <v>0</v>
      </c>
      <c r="O76" s="131">
        <f t="shared" si="23"/>
        <v>0</v>
      </c>
      <c r="P76" s="132">
        <f t="shared" si="23"/>
        <v>0</v>
      </c>
    </row>
    <row r="77" spans="2:16">
      <c r="B77" s="104" t="s">
        <v>5</v>
      </c>
      <c r="C77" s="405" t="s">
        <v>282</v>
      </c>
      <c r="D77" s="105" t="s">
        <v>284</v>
      </c>
      <c r="E77" s="129">
        <v>0</v>
      </c>
      <c r="F77" s="129">
        <f t="shared" ref="F77:F79" si="24">E77</f>
        <v>0</v>
      </c>
      <c r="G77" s="129">
        <f t="shared" ref="G77:I77" si="25">F77</f>
        <v>0</v>
      </c>
      <c r="H77" s="129">
        <f t="shared" si="25"/>
        <v>0</v>
      </c>
      <c r="I77" s="130">
        <f t="shared" si="25"/>
        <v>0</v>
      </c>
      <c r="K77" s="133" t="s">
        <v>35</v>
      </c>
      <c r="L77" s="134">
        <f>E81</f>
        <v>0</v>
      </c>
      <c r="M77" s="134">
        <f t="shared" ref="M77:P77" si="26">F81</f>
        <v>0</v>
      </c>
      <c r="N77" s="134">
        <f t="shared" si="26"/>
        <v>0</v>
      </c>
      <c r="O77" s="134">
        <f t="shared" si="26"/>
        <v>0</v>
      </c>
      <c r="P77" s="135">
        <f t="shared" si="26"/>
        <v>0</v>
      </c>
    </row>
    <row r="78" spans="2:16">
      <c r="B78" s="104" t="s">
        <v>5</v>
      </c>
      <c r="C78" s="405" t="s">
        <v>283</v>
      </c>
      <c r="D78" s="105" t="s">
        <v>285</v>
      </c>
      <c r="E78" s="129">
        <v>0</v>
      </c>
      <c r="F78" s="129">
        <f t="shared" si="24"/>
        <v>0</v>
      </c>
      <c r="G78" s="129">
        <f t="shared" ref="G78:I78" si="27">F78</f>
        <v>0</v>
      </c>
      <c r="H78" s="129">
        <f t="shared" si="27"/>
        <v>0</v>
      </c>
      <c r="I78" s="130">
        <f t="shared" si="27"/>
        <v>0</v>
      </c>
    </row>
    <row r="79" spans="2:16">
      <c r="B79" s="104" t="s">
        <v>5</v>
      </c>
      <c r="C79" s="406" t="s">
        <v>281</v>
      </c>
      <c r="D79" s="110" t="s">
        <v>114</v>
      </c>
      <c r="E79" s="129">
        <v>0</v>
      </c>
      <c r="F79" s="129">
        <f t="shared" si="24"/>
        <v>0</v>
      </c>
      <c r="G79" s="129">
        <f t="shared" ref="G79:I79" si="28">F79</f>
        <v>0</v>
      </c>
      <c r="H79" s="129">
        <f t="shared" si="28"/>
        <v>0</v>
      </c>
      <c r="I79" s="130">
        <f t="shared" si="28"/>
        <v>0</v>
      </c>
    </row>
    <row r="80" spans="2:16">
      <c r="B80" s="112"/>
      <c r="C80" s="406"/>
      <c r="D80" s="110"/>
      <c r="E80" s="129"/>
      <c r="F80" s="129"/>
      <c r="G80" s="129"/>
      <c r="H80" s="129"/>
      <c r="I80" s="130"/>
    </row>
    <row r="81" spans="2:13">
      <c r="B81" s="115" t="s">
        <v>35</v>
      </c>
      <c r="C81" s="116"/>
      <c r="D81" s="408"/>
      <c r="E81" s="413">
        <f>SUM(E75:E80)</f>
        <v>0</v>
      </c>
      <c r="F81" s="413">
        <f>SUM(F75:F80)</f>
        <v>0</v>
      </c>
      <c r="G81" s="413">
        <f>SUM(G75:G80)</f>
        <v>0</v>
      </c>
      <c r="H81" s="413">
        <f>SUM(H75:H80)</f>
        <v>0</v>
      </c>
      <c r="I81" s="82">
        <f>SUM(I75:I80)</f>
        <v>0</v>
      </c>
    </row>
    <row r="84" spans="2:13">
      <c r="B84" s="58" t="s">
        <v>122</v>
      </c>
      <c r="C84" s="402"/>
      <c r="E84" s="84" t="s">
        <v>30</v>
      </c>
      <c r="F84" s="84" t="s">
        <v>31</v>
      </c>
      <c r="G84" s="84" t="s">
        <v>32</v>
      </c>
      <c r="H84" s="84" t="s">
        <v>33</v>
      </c>
      <c r="I84" s="84" t="s">
        <v>34</v>
      </c>
    </row>
    <row r="85" spans="2:13">
      <c r="B85" s="125" t="s">
        <v>279</v>
      </c>
      <c r="C85" s="403" t="s">
        <v>280</v>
      </c>
      <c r="D85" s="98" t="s">
        <v>116</v>
      </c>
      <c r="E85" s="143">
        <f>$M65*E75</f>
        <v>0</v>
      </c>
      <c r="F85" s="100">
        <f t="shared" ref="F85:I85" si="29">$M65*F75</f>
        <v>0</v>
      </c>
      <c r="G85" s="100">
        <f t="shared" si="29"/>
        <v>0</v>
      </c>
      <c r="H85" s="100">
        <f t="shared" si="29"/>
        <v>0</v>
      </c>
      <c r="I85" s="102">
        <f t="shared" si="29"/>
        <v>0</v>
      </c>
      <c r="M85" s="228"/>
    </row>
    <row r="86" spans="2:13">
      <c r="B86" s="104" t="s">
        <v>5</v>
      </c>
      <c r="C86" s="405" t="s">
        <v>108</v>
      </c>
      <c r="D86" s="105" t="s">
        <v>109</v>
      </c>
      <c r="E86" s="144">
        <f t="shared" ref="E86:I89" si="30">$M66*E76</f>
        <v>0</v>
      </c>
      <c r="F86" s="107">
        <f t="shared" si="30"/>
        <v>0</v>
      </c>
      <c r="G86" s="107">
        <f t="shared" si="30"/>
        <v>0</v>
      </c>
      <c r="H86" s="107">
        <f t="shared" si="30"/>
        <v>0</v>
      </c>
      <c r="I86" s="108">
        <f t="shared" si="30"/>
        <v>0</v>
      </c>
    </row>
    <row r="87" spans="2:13">
      <c r="B87" s="104" t="s">
        <v>5</v>
      </c>
      <c r="C87" s="405" t="s">
        <v>282</v>
      </c>
      <c r="D87" s="105" t="s">
        <v>284</v>
      </c>
      <c r="E87" s="144">
        <f t="shared" si="30"/>
        <v>0</v>
      </c>
      <c r="F87" s="107">
        <f t="shared" si="30"/>
        <v>0</v>
      </c>
      <c r="G87" s="107">
        <f t="shared" si="30"/>
        <v>0</v>
      </c>
      <c r="H87" s="107">
        <f t="shared" si="30"/>
        <v>0</v>
      </c>
      <c r="I87" s="108">
        <f t="shared" si="30"/>
        <v>0</v>
      </c>
      <c r="M87" s="228"/>
    </row>
    <row r="88" spans="2:13">
      <c r="B88" s="104" t="s">
        <v>5</v>
      </c>
      <c r="C88" s="405" t="s">
        <v>283</v>
      </c>
      <c r="D88" s="105" t="s">
        <v>285</v>
      </c>
      <c r="E88" s="144">
        <f t="shared" si="30"/>
        <v>0</v>
      </c>
      <c r="F88" s="107">
        <f t="shared" si="30"/>
        <v>0</v>
      </c>
      <c r="G88" s="107">
        <f t="shared" si="30"/>
        <v>0</v>
      </c>
      <c r="H88" s="107">
        <f t="shared" si="30"/>
        <v>0</v>
      </c>
      <c r="I88" s="108">
        <f t="shared" si="30"/>
        <v>0</v>
      </c>
    </row>
    <row r="89" spans="2:13">
      <c r="B89" s="104" t="s">
        <v>5</v>
      </c>
      <c r="C89" s="406" t="s">
        <v>281</v>
      </c>
      <c r="D89" s="110" t="s">
        <v>114</v>
      </c>
      <c r="E89" s="144">
        <f t="shared" si="30"/>
        <v>0</v>
      </c>
      <c r="F89" s="107">
        <f t="shared" si="30"/>
        <v>0</v>
      </c>
      <c r="G89" s="107">
        <f t="shared" si="30"/>
        <v>0</v>
      </c>
      <c r="H89" s="107">
        <f t="shared" si="30"/>
        <v>0</v>
      </c>
      <c r="I89" s="108">
        <f t="shared" si="30"/>
        <v>0</v>
      </c>
      <c r="M89" s="228"/>
    </row>
    <row r="90" spans="2:13">
      <c r="B90" s="112"/>
      <c r="C90" s="406"/>
      <c r="D90" s="110"/>
      <c r="E90" s="414"/>
      <c r="F90" s="415"/>
      <c r="G90" s="415"/>
      <c r="H90" s="415"/>
      <c r="I90" s="416"/>
    </row>
    <row r="91" spans="2:13">
      <c r="B91" s="115" t="s">
        <v>35</v>
      </c>
      <c r="C91" s="116"/>
      <c r="D91" s="408"/>
      <c r="E91" s="417">
        <f>SUM(E85:E90)</f>
        <v>0</v>
      </c>
      <c r="F91" s="413">
        <f>SUM(F85:F90)</f>
        <v>0</v>
      </c>
      <c r="G91" s="413">
        <f>SUM(G85:G90)</f>
        <v>0</v>
      </c>
      <c r="H91" s="413">
        <f>SUM(H85:H90)</f>
        <v>0</v>
      </c>
      <c r="I91" s="82">
        <f>SUM(I85:I90)</f>
        <v>0</v>
      </c>
    </row>
    <row r="94" spans="2:13">
      <c r="B94" s="5" t="s">
        <v>183</v>
      </c>
      <c r="C94" s="418"/>
      <c r="E94" s="84" t="s">
        <v>124</v>
      </c>
      <c r="F94" s="84"/>
    </row>
    <row r="95" spans="2:13">
      <c r="B95" s="62" t="s">
        <v>39</v>
      </c>
      <c r="C95" s="85"/>
      <c r="D95" s="85"/>
      <c r="E95" s="126">
        <f>Q34+Q41+Q48+Q58+Q22</f>
        <v>19646015.040584415</v>
      </c>
      <c r="F95" s="126"/>
      <c r="G95" s="85"/>
      <c r="H95" s="342"/>
    </row>
    <row r="96" spans="2:13">
      <c r="B96" s="72" t="s">
        <v>209</v>
      </c>
      <c r="C96" s="89"/>
      <c r="D96" s="89"/>
      <c r="E96" s="83">
        <f>E91</f>
        <v>0</v>
      </c>
      <c r="F96" s="83"/>
      <c r="G96" s="89"/>
      <c r="H96" s="419"/>
    </row>
    <row r="97" spans="2:8">
      <c r="B97" s="420" t="s">
        <v>210</v>
      </c>
      <c r="C97" s="421"/>
      <c r="D97" s="422"/>
      <c r="E97" s="423">
        <f>E95*$H$97</f>
        <v>9823007.5202922076</v>
      </c>
      <c r="F97" s="424"/>
      <c r="G97" s="425" t="s">
        <v>395</v>
      </c>
      <c r="H97" s="426">
        <v>0.5</v>
      </c>
    </row>
    <row r="98" spans="2:8">
      <c r="B98" s="427" t="s">
        <v>388</v>
      </c>
      <c r="C98" s="407"/>
      <c r="D98" s="428"/>
      <c r="E98" s="429">
        <f>E95*$H$98</f>
        <v>0</v>
      </c>
      <c r="F98" s="430"/>
      <c r="G98" s="431" t="s">
        <v>396</v>
      </c>
      <c r="H98" s="432">
        <v>0</v>
      </c>
    </row>
    <row r="100" spans="2:8">
      <c r="E100" s="433"/>
    </row>
    <row r="101" spans="2:8">
      <c r="B101" s="345" t="s">
        <v>211</v>
      </c>
      <c r="C101" s="434"/>
      <c r="D101" s="435"/>
      <c r="E101" s="436" t="s">
        <v>124</v>
      </c>
      <c r="F101" s="437"/>
    </row>
    <row r="102" spans="2:8">
      <c r="B102" s="438" t="s">
        <v>138</v>
      </c>
      <c r="C102" s="439"/>
      <c r="D102" s="439"/>
      <c r="E102" s="440">
        <f>E95</f>
        <v>19646015.040584415</v>
      </c>
      <c r="F102" s="441"/>
    </row>
    <row r="103" spans="2:8">
      <c r="B103" s="438" t="s">
        <v>188</v>
      </c>
      <c r="C103" s="439"/>
      <c r="D103" s="439"/>
      <c r="E103" s="442">
        <f t="shared" ref="E103:E105" si="31">E96</f>
        <v>0</v>
      </c>
      <c r="F103" s="443">
        <f>E103/$E$102</f>
        <v>0</v>
      </c>
    </row>
    <row r="104" spans="2:8">
      <c r="B104" s="438" t="s">
        <v>139</v>
      </c>
      <c r="C104" s="439"/>
      <c r="D104" s="439"/>
      <c r="E104" s="442">
        <f t="shared" si="31"/>
        <v>9823007.5202922076</v>
      </c>
      <c r="F104" s="443">
        <f t="shared" ref="F104:F107" si="32">E104/$E$102</f>
        <v>0.5</v>
      </c>
    </row>
    <row r="105" spans="2:8">
      <c r="B105" s="438" t="s">
        <v>140</v>
      </c>
      <c r="C105" s="439"/>
      <c r="D105" s="439"/>
      <c r="E105" s="442">
        <f t="shared" si="31"/>
        <v>0</v>
      </c>
      <c r="F105" s="443">
        <f t="shared" si="32"/>
        <v>0</v>
      </c>
    </row>
    <row r="106" spans="2:8">
      <c r="B106" s="438" t="s">
        <v>141</v>
      </c>
      <c r="C106" s="439"/>
      <c r="D106" s="439"/>
      <c r="E106" s="442">
        <f>SUM(E103:E105)</f>
        <v>9823007.5202922076</v>
      </c>
      <c r="F106" s="443">
        <f t="shared" si="32"/>
        <v>0.5</v>
      </c>
    </row>
    <row r="107" spans="2:8">
      <c r="B107" s="350" t="s">
        <v>142</v>
      </c>
      <c r="C107" s="444"/>
      <c r="D107" s="444"/>
      <c r="E107" s="445">
        <f>E102-E106</f>
        <v>9823007.5202922076</v>
      </c>
      <c r="F107" s="446">
        <f t="shared" si="32"/>
        <v>0.5</v>
      </c>
    </row>
    <row r="108" spans="2:8">
      <c r="B108" s="56" t="s">
        <v>2</v>
      </c>
      <c r="E108" s="246">
        <f>Proforma!D59</f>
        <v>9823007.5202922076</v>
      </c>
      <c r="F108" s="246"/>
    </row>
    <row r="118" spans="3:14">
      <c r="C118" s="345" t="s">
        <v>143</v>
      </c>
      <c r="D118" s="346"/>
      <c r="E118" s="347" t="s">
        <v>30</v>
      </c>
      <c r="F118" s="348"/>
      <c r="G118" s="349" t="s">
        <v>31</v>
      </c>
      <c r="H118" s="348"/>
      <c r="I118" s="349" t="s">
        <v>32</v>
      </c>
      <c r="J118" s="348"/>
      <c r="K118" s="349" t="s">
        <v>33</v>
      </c>
      <c r="L118" s="348"/>
      <c r="M118" s="349" t="s">
        <v>34</v>
      </c>
      <c r="N118" s="348"/>
    </row>
    <row r="119" spans="3:14">
      <c r="C119" s="350" t="s">
        <v>295</v>
      </c>
      <c r="D119" s="351"/>
      <c r="E119" s="352" t="s">
        <v>145</v>
      </c>
      <c r="F119" s="353" t="s">
        <v>146</v>
      </c>
      <c r="G119" s="353" t="s">
        <v>145</v>
      </c>
      <c r="H119" s="353" t="s">
        <v>146</v>
      </c>
      <c r="I119" s="353" t="s">
        <v>145</v>
      </c>
      <c r="J119" s="353" t="s">
        <v>146</v>
      </c>
      <c r="K119" s="353" t="s">
        <v>145</v>
      </c>
      <c r="L119" s="353" t="s">
        <v>146</v>
      </c>
      <c r="M119" s="353" t="s">
        <v>145</v>
      </c>
      <c r="N119" s="353" t="s">
        <v>146</v>
      </c>
    </row>
    <row r="120" spans="3:14">
      <c r="C120" s="66" t="str">
        <f>C119</f>
        <v>Other Revenues</v>
      </c>
      <c r="D120" s="71"/>
      <c r="E120" s="126">
        <f>E81</f>
        <v>0</v>
      </c>
      <c r="F120" s="126">
        <f>E91</f>
        <v>0</v>
      </c>
      <c r="G120" s="126">
        <f>F81</f>
        <v>0</v>
      </c>
      <c r="H120" s="126">
        <f>F91</f>
        <v>0</v>
      </c>
      <c r="I120" s="126">
        <f>G81</f>
        <v>0</v>
      </c>
      <c r="J120" s="126">
        <f>G91</f>
        <v>0</v>
      </c>
      <c r="K120" s="126">
        <f>H81</f>
        <v>0</v>
      </c>
      <c r="L120" s="126">
        <f>H91</f>
        <v>0</v>
      </c>
      <c r="M120" s="126">
        <f>I81</f>
        <v>0</v>
      </c>
      <c r="N120" s="127">
        <f>I91</f>
        <v>0</v>
      </c>
    </row>
    <row r="121" spans="3:14">
      <c r="C121" s="66"/>
      <c r="D121" s="71"/>
      <c r="N121" s="71"/>
    </row>
    <row r="122" spans="3:14">
      <c r="C122" s="66" t="s">
        <v>120</v>
      </c>
      <c r="D122" s="71"/>
      <c r="E122" s="131">
        <f>L75</f>
        <v>0</v>
      </c>
      <c r="G122" s="131">
        <f>M75</f>
        <v>0</v>
      </c>
      <c r="I122" s="131">
        <f>N75</f>
        <v>0</v>
      </c>
      <c r="K122" s="131">
        <f>O75</f>
        <v>0</v>
      </c>
      <c r="M122" s="131">
        <f>P75</f>
        <v>0</v>
      </c>
      <c r="N122" s="132"/>
    </row>
    <row r="123" spans="3:14">
      <c r="C123" s="66" t="s">
        <v>121</v>
      </c>
      <c r="D123" s="71"/>
      <c r="E123" s="131">
        <f>L76</f>
        <v>0</v>
      </c>
      <c r="G123" s="131">
        <f>M76</f>
        <v>0</v>
      </c>
      <c r="I123" s="131">
        <f>N76</f>
        <v>0</v>
      </c>
      <c r="K123" s="131">
        <f>O76</f>
        <v>0</v>
      </c>
      <c r="M123" s="131">
        <f>P76</f>
        <v>0</v>
      </c>
      <c r="N123" s="132"/>
    </row>
    <row r="124" spans="3:14">
      <c r="C124" s="360" t="s">
        <v>35</v>
      </c>
      <c r="D124" s="361"/>
      <c r="E124" s="362">
        <f>E122+E123</f>
        <v>0</v>
      </c>
      <c r="F124" s="363"/>
      <c r="G124" s="362">
        <f>G122+G123</f>
        <v>0</v>
      </c>
      <c r="H124" s="363"/>
      <c r="I124" s="362">
        <f>I122+I123</f>
        <v>0</v>
      </c>
      <c r="J124" s="363"/>
      <c r="K124" s="362">
        <f>K122+K123</f>
        <v>0</v>
      </c>
      <c r="L124" s="363"/>
      <c r="M124" s="362">
        <f>M122+M123</f>
        <v>0</v>
      </c>
      <c r="N124" s="365"/>
    </row>
  </sheetData>
  <mergeCells count="5">
    <mergeCell ref="E118:F118"/>
    <mergeCell ref="G118:H118"/>
    <mergeCell ref="I118:J118"/>
    <mergeCell ref="K118:L118"/>
    <mergeCell ref="M118:N118"/>
  </mergeCells>
  <phoneticPr fontId="2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7684-8134-42BE-BCE9-D4D12E16F568}">
  <sheetPr>
    <pageSetUpPr fitToPage="1"/>
  </sheetPr>
  <dimension ref="A1:U189"/>
  <sheetViews>
    <sheetView zoomScale="85" zoomScaleNormal="85" workbookViewId="0">
      <pane xSplit="4" ySplit="7" topLeftCell="E48" activePane="bottomRight" state="frozen"/>
      <selection activeCell="C59" sqref="C59"/>
      <selection pane="topRight" activeCell="C59" sqref="C59"/>
      <selection pane="bottomLeft" activeCell="C59" sqref="C59"/>
      <selection pane="bottomRight" activeCell="C59" sqref="C59"/>
    </sheetView>
  </sheetViews>
  <sheetFormatPr defaultColWidth="9" defaultRowHeight="12"/>
  <cols>
    <col min="1" max="1" width="3" style="56" customWidth="1"/>
    <col min="2" max="2" width="23.26953125" style="56" customWidth="1"/>
    <col min="3" max="3" width="21.90625" style="56" customWidth="1"/>
    <col min="4" max="4" width="13.36328125" style="56" customWidth="1"/>
    <col min="5" max="7" width="14" style="56" customWidth="1"/>
    <col min="8" max="8" width="14" style="57" customWidth="1"/>
    <col min="9" max="17" width="14" style="56" customWidth="1"/>
    <col min="18" max="18" width="4" style="56" customWidth="1"/>
    <col min="19" max="19" width="15.90625" style="56" customWidth="1"/>
    <col min="20" max="16384" width="9" style="56"/>
  </cols>
  <sheetData>
    <row r="1" spans="1:18">
      <c r="A1" s="55" t="str">
        <f>'Room Types'!$A$1</f>
        <v>Hotel xxxx</v>
      </c>
    </row>
    <row r="2" spans="1:18">
      <c r="A2" s="58" t="s">
        <v>212</v>
      </c>
    </row>
    <row r="3" spans="1:18">
      <c r="A3" s="58" t="s">
        <v>27</v>
      </c>
    </row>
    <row r="4" spans="1:18">
      <c r="A4" s="58"/>
      <c r="H4" s="56"/>
    </row>
    <row r="5" spans="1:18">
      <c r="A5" s="58"/>
      <c r="H5" s="56"/>
    </row>
    <row r="6" spans="1:18">
      <c r="E6" s="58" t="s">
        <v>73</v>
      </c>
    </row>
    <row r="7" spans="1:18">
      <c r="B7" s="58" t="s">
        <v>147</v>
      </c>
      <c r="D7" s="59"/>
      <c r="E7" s="60" t="s">
        <v>196</v>
      </c>
      <c r="F7" s="61" t="s">
        <v>197</v>
      </c>
      <c r="G7" s="60" t="s">
        <v>198</v>
      </c>
      <c r="H7" s="60" t="s">
        <v>199</v>
      </c>
      <c r="I7" s="60" t="s">
        <v>200</v>
      </c>
      <c r="J7" s="60" t="s">
        <v>201</v>
      </c>
      <c r="K7" s="60" t="s">
        <v>202</v>
      </c>
      <c r="L7" s="60" t="s">
        <v>203</v>
      </c>
      <c r="M7" s="60" t="s">
        <v>204</v>
      </c>
      <c r="N7" s="60" t="s">
        <v>205</v>
      </c>
      <c r="O7" s="60" t="s">
        <v>206</v>
      </c>
      <c r="P7" s="60" t="s">
        <v>207</v>
      </c>
      <c r="Q7" s="60" t="s">
        <v>16</v>
      </c>
    </row>
    <row r="8" spans="1:18">
      <c r="B8" s="62" t="s">
        <v>20</v>
      </c>
      <c r="C8" s="63">
        <f>Rooms!S7</f>
        <v>365</v>
      </c>
      <c r="D8" s="64"/>
      <c r="E8" s="63">
        <f>Rooms!G7</f>
        <v>31</v>
      </c>
      <c r="F8" s="65">
        <f>Rooms!H7</f>
        <v>28</v>
      </c>
      <c r="G8" s="65">
        <f>Rooms!I7</f>
        <v>31</v>
      </c>
      <c r="H8" s="65">
        <f>Rooms!J7</f>
        <v>30</v>
      </c>
      <c r="I8" s="65">
        <f>Rooms!K7</f>
        <v>31</v>
      </c>
      <c r="J8" s="65">
        <f>Rooms!L7</f>
        <v>30</v>
      </c>
      <c r="K8" s="65">
        <f>Rooms!M7</f>
        <v>31</v>
      </c>
      <c r="L8" s="65">
        <f>Rooms!N7</f>
        <v>31</v>
      </c>
      <c r="M8" s="65">
        <f>Rooms!O7</f>
        <v>30</v>
      </c>
      <c r="N8" s="65">
        <f>Rooms!P7</f>
        <v>31</v>
      </c>
      <c r="O8" s="65">
        <f>Rooms!Q7</f>
        <v>30</v>
      </c>
      <c r="P8" s="65">
        <f>Rooms!R7</f>
        <v>31</v>
      </c>
      <c r="Q8" s="64">
        <f t="shared" ref="Q8:Q10" si="0">SUM(E8:P8)</f>
        <v>365</v>
      </c>
    </row>
    <row r="9" spans="1:18">
      <c r="B9" s="66" t="s">
        <v>131</v>
      </c>
      <c r="C9" s="59">
        <f>Rooms!S9</f>
        <v>75555</v>
      </c>
      <c r="D9" s="67"/>
      <c r="E9" s="68">
        <f>Rooms!G9</f>
        <v>6417</v>
      </c>
      <c r="F9" s="68">
        <f>Rooms!H9</f>
        <v>5796</v>
      </c>
      <c r="G9" s="68">
        <f>Rooms!I9</f>
        <v>6417</v>
      </c>
      <c r="H9" s="68">
        <f>Rooms!J9</f>
        <v>6210</v>
      </c>
      <c r="I9" s="68">
        <f>Rooms!K9</f>
        <v>6417</v>
      </c>
      <c r="J9" s="68">
        <f>Rooms!L9</f>
        <v>6210</v>
      </c>
      <c r="K9" s="68">
        <f>Rooms!M9</f>
        <v>6417</v>
      </c>
      <c r="L9" s="68">
        <f>Rooms!N9</f>
        <v>6417</v>
      </c>
      <c r="M9" s="68">
        <f>Rooms!O9</f>
        <v>6210</v>
      </c>
      <c r="N9" s="68">
        <f>Rooms!P9</f>
        <v>6417</v>
      </c>
      <c r="O9" s="68">
        <f>Rooms!Q9</f>
        <v>6210</v>
      </c>
      <c r="P9" s="68">
        <f>Rooms!R9</f>
        <v>6417</v>
      </c>
      <c r="Q9" s="69">
        <f t="shared" si="0"/>
        <v>75555</v>
      </c>
    </row>
    <row r="10" spans="1:18">
      <c r="B10" s="66" t="s">
        <v>76</v>
      </c>
      <c r="C10" s="59">
        <f>Rooms!S10</f>
        <v>65060.15040584415</v>
      </c>
      <c r="D10" s="69"/>
      <c r="E10" s="59">
        <f>Rooms!G10</f>
        <v>5133.6000000000004</v>
      </c>
      <c r="F10" s="59">
        <f>Rooms!H10</f>
        <v>4876.5553977272721</v>
      </c>
      <c r="G10" s="59">
        <f>Rooms!I10</f>
        <v>5199.7492694805205</v>
      </c>
      <c r="H10" s="59">
        <f>Rooms!J10</f>
        <v>4419.7608360389604</v>
      </c>
      <c r="I10" s="59">
        <f>Rooms!K10</f>
        <v>5652.8978084415594</v>
      </c>
      <c r="J10" s="59">
        <f>Rooms!L10</f>
        <v>5785.9776379870109</v>
      </c>
      <c r="K10" s="59">
        <f>Rooms!M10</f>
        <v>5873.7426136363656</v>
      </c>
      <c r="L10" s="59">
        <f>Rooms!N10</f>
        <v>5879.9929383116851</v>
      </c>
      <c r="M10" s="59">
        <f>Rooms!O10</f>
        <v>5784.675487012988</v>
      </c>
      <c r="N10" s="59">
        <f>Rooms!P10</f>
        <v>5785.717207792206</v>
      </c>
      <c r="O10" s="59">
        <f>Rooms!Q10</f>
        <v>5192.4572240259758</v>
      </c>
      <c r="P10" s="59">
        <f>Rooms!R10</f>
        <v>5475.0239853896119</v>
      </c>
      <c r="Q10" s="69">
        <f t="shared" si="0"/>
        <v>65060.15040584415</v>
      </c>
    </row>
    <row r="11" spans="1:18">
      <c r="B11" s="66" t="s">
        <v>77</v>
      </c>
      <c r="C11" s="70">
        <f>C10/C9</f>
        <v>0.86109655755203696</v>
      </c>
      <c r="D11" s="69"/>
      <c r="E11" s="70">
        <f>E10/E9</f>
        <v>0.8</v>
      </c>
      <c r="F11" s="70">
        <f t="shared" ref="F11:Q11" si="1">F10/F9</f>
        <v>0.8413656655844155</v>
      </c>
      <c r="G11" s="70">
        <f t="shared" si="1"/>
        <v>0.81030844155844173</v>
      </c>
      <c r="H11" s="70">
        <f t="shared" si="1"/>
        <v>0.71171672077922066</v>
      </c>
      <c r="I11" s="70">
        <f t="shared" si="1"/>
        <v>0.88092532467532481</v>
      </c>
      <c r="J11" s="70">
        <f t="shared" si="1"/>
        <v>0.93171942640692607</v>
      </c>
      <c r="K11" s="70">
        <f t="shared" si="1"/>
        <v>0.91534090909090937</v>
      </c>
      <c r="L11" s="70">
        <f t="shared" si="1"/>
        <v>0.91631493506493455</v>
      </c>
      <c r="M11" s="70">
        <f t="shared" si="1"/>
        <v>0.93150974025974043</v>
      </c>
      <c r="N11" s="70">
        <f t="shared" si="1"/>
        <v>0.90162337662337633</v>
      </c>
      <c r="O11" s="70">
        <f t="shared" si="1"/>
        <v>0.83614448051948076</v>
      </c>
      <c r="P11" s="70">
        <f t="shared" si="1"/>
        <v>0.85320616883116907</v>
      </c>
      <c r="Q11" s="67">
        <f t="shared" si="1"/>
        <v>0.86109655755203696</v>
      </c>
    </row>
    <row r="12" spans="1:18">
      <c r="B12" s="66" t="s">
        <v>78</v>
      </c>
      <c r="C12" s="59">
        <f>Rooms!S12</f>
        <v>10000</v>
      </c>
      <c r="D12" s="69"/>
      <c r="E12" s="59">
        <f>Rooms!G12</f>
        <v>10000</v>
      </c>
      <c r="F12" s="59">
        <f>Rooms!H12</f>
        <v>9999.9999999999964</v>
      </c>
      <c r="G12" s="59">
        <f>Rooms!I12</f>
        <v>10000</v>
      </c>
      <c r="H12" s="59">
        <f>Rooms!J12</f>
        <v>9999.9999999999964</v>
      </c>
      <c r="I12" s="59">
        <f>Rooms!K12</f>
        <v>10000</v>
      </c>
      <c r="J12" s="59">
        <f>Rooms!L12</f>
        <v>9999.9999999999982</v>
      </c>
      <c r="K12" s="59">
        <f>Rooms!M12</f>
        <v>9999.9999999999982</v>
      </c>
      <c r="L12" s="59">
        <f>Rooms!N12</f>
        <v>10000.000000000002</v>
      </c>
      <c r="M12" s="59">
        <f>Rooms!O12</f>
        <v>10000</v>
      </c>
      <c r="N12" s="59">
        <f>Rooms!P12</f>
        <v>9999.9999999999982</v>
      </c>
      <c r="O12" s="59">
        <f>Rooms!Q12</f>
        <v>9999.9999999999964</v>
      </c>
      <c r="P12" s="59">
        <f>Rooms!R12</f>
        <v>9999.9999999999964</v>
      </c>
      <c r="Q12" s="69">
        <f>Rooms!S12</f>
        <v>10000</v>
      </c>
    </row>
    <row r="13" spans="1:18">
      <c r="B13" s="66" t="s">
        <v>79</v>
      </c>
      <c r="C13" s="59">
        <f>Rooms!S13</f>
        <v>8610.9655755203694</v>
      </c>
      <c r="D13" s="71"/>
      <c r="E13" s="59">
        <f>E12*E11</f>
        <v>8000</v>
      </c>
      <c r="F13" s="59">
        <f t="shared" ref="F13:Q13" si="2">F12*F11</f>
        <v>8413.6566558441518</v>
      </c>
      <c r="G13" s="59">
        <f t="shared" si="2"/>
        <v>8103.084415584417</v>
      </c>
      <c r="H13" s="59">
        <f t="shared" si="2"/>
        <v>7117.167207792204</v>
      </c>
      <c r="I13" s="59">
        <f t="shared" si="2"/>
        <v>8809.2532467532474</v>
      </c>
      <c r="J13" s="59">
        <f t="shared" si="2"/>
        <v>9317.1942640692596</v>
      </c>
      <c r="K13" s="59">
        <f t="shared" si="2"/>
        <v>9153.4090909090919</v>
      </c>
      <c r="L13" s="59">
        <f t="shared" si="2"/>
        <v>9163.149350649348</v>
      </c>
      <c r="M13" s="59">
        <f t="shared" si="2"/>
        <v>9315.0974025974047</v>
      </c>
      <c r="N13" s="59">
        <f t="shared" si="2"/>
        <v>9016.2337662337613</v>
      </c>
      <c r="O13" s="59">
        <f t="shared" si="2"/>
        <v>8361.4448051948038</v>
      </c>
      <c r="P13" s="59">
        <f t="shared" si="2"/>
        <v>8532.0616883116872</v>
      </c>
      <c r="Q13" s="69">
        <f t="shared" si="2"/>
        <v>8610.9655755203694</v>
      </c>
    </row>
    <row r="14" spans="1:18">
      <c r="B14" s="72" t="s">
        <v>148</v>
      </c>
      <c r="C14" s="73">
        <f>Rooms!S14</f>
        <v>130120.3008116883</v>
      </c>
      <c r="D14" s="74">
        <f>C14/C10</f>
        <v>2</v>
      </c>
      <c r="E14" s="73">
        <f>Rooms!G14</f>
        <v>10267.200000000001</v>
      </c>
      <c r="F14" s="73">
        <f>Rooms!H14</f>
        <v>9753.1107954545441</v>
      </c>
      <c r="G14" s="73">
        <f>Rooms!I14</f>
        <v>10399.498538961041</v>
      </c>
      <c r="H14" s="73">
        <f>Rooms!J14</f>
        <v>8839.5216720779208</v>
      </c>
      <c r="I14" s="73">
        <f>Rooms!K14</f>
        <v>11305.795616883119</v>
      </c>
      <c r="J14" s="73">
        <f>Rooms!L14</f>
        <v>11571.955275974022</v>
      </c>
      <c r="K14" s="73">
        <f>Rooms!M14</f>
        <v>11747.485227272731</v>
      </c>
      <c r="L14" s="73">
        <f>Rooms!N14</f>
        <v>11759.98587662337</v>
      </c>
      <c r="M14" s="73">
        <f>Rooms!O14</f>
        <v>11569.350974025976</v>
      </c>
      <c r="N14" s="73">
        <f>Rooms!P14</f>
        <v>11571.434415584412</v>
      </c>
      <c r="O14" s="73">
        <f>Rooms!Q14</f>
        <v>10384.914448051952</v>
      </c>
      <c r="P14" s="73">
        <f>Rooms!R14</f>
        <v>10950.047970779224</v>
      </c>
      <c r="Q14" s="75">
        <f>SUM(E14:P14)</f>
        <v>130120.3008116883</v>
      </c>
      <c r="R14" s="74">
        <f>Q14/Q10</f>
        <v>2</v>
      </c>
    </row>
    <row r="15" spans="1:18">
      <c r="D15" s="59"/>
      <c r="F15" s="76"/>
    </row>
    <row r="16" spans="1:18">
      <c r="D16" s="59"/>
      <c r="F16" s="76"/>
    </row>
    <row r="17" spans="2:15">
      <c r="B17" s="77" t="s">
        <v>138</v>
      </c>
      <c r="C17" s="78" t="s">
        <v>147</v>
      </c>
      <c r="D17" s="59"/>
      <c r="F17" s="76"/>
    </row>
    <row r="18" spans="2:15">
      <c r="B18" s="26" t="s">
        <v>41</v>
      </c>
      <c r="C18" s="69">
        <f>Proforma!D27</f>
        <v>650601504.05844152</v>
      </c>
      <c r="D18" s="59"/>
      <c r="F18" s="76"/>
    </row>
    <row r="19" spans="2:15">
      <c r="B19" s="66" t="s">
        <v>307</v>
      </c>
      <c r="C19" s="69">
        <f>Proforma!D28</f>
        <v>569365037.8003248</v>
      </c>
      <c r="D19" s="79"/>
      <c r="F19" s="70"/>
    </row>
    <row r="20" spans="2:15">
      <c r="B20" s="66" t="s">
        <v>306</v>
      </c>
      <c r="C20" s="69">
        <f>Proforma!D29</f>
        <v>19646015.040584415</v>
      </c>
      <c r="E20" s="80"/>
      <c r="F20" s="70"/>
    </row>
    <row r="21" spans="2:15">
      <c r="B21" s="81" t="s">
        <v>16</v>
      </c>
      <c r="C21" s="82">
        <f>SUM(C18:C20)</f>
        <v>1239612556.8993506</v>
      </c>
      <c r="E21" s="80"/>
      <c r="F21" s="70"/>
    </row>
    <row r="22" spans="2:15">
      <c r="B22" s="56" t="s">
        <v>2</v>
      </c>
      <c r="C22" s="83">
        <f>Proforma!D30</f>
        <v>1239612556.8993506</v>
      </c>
      <c r="E22" s="80"/>
      <c r="F22" s="70"/>
    </row>
    <row r="23" spans="2:15">
      <c r="E23" s="80"/>
      <c r="F23" s="70"/>
    </row>
    <row r="24" spans="2:15">
      <c r="B24" s="58" t="s">
        <v>89</v>
      </c>
      <c r="E24" s="84" t="s">
        <v>124</v>
      </c>
      <c r="F24" s="84" t="s">
        <v>192</v>
      </c>
      <c r="G24" s="84" t="s">
        <v>193</v>
      </c>
      <c r="H24" s="84" t="s">
        <v>194</v>
      </c>
      <c r="I24" s="84" t="s">
        <v>195</v>
      </c>
    </row>
    <row r="25" spans="2:15">
      <c r="B25" s="62" t="s">
        <v>72</v>
      </c>
      <c r="C25" s="85"/>
      <c r="D25" s="85"/>
      <c r="E25" s="86">
        <f>Rooms!G104</f>
        <v>207</v>
      </c>
      <c r="F25" s="87">
        <f>Rooms!H104</f>
        <v>207</v>
      </c>
      <c r="G25" s="87">
        <f>Rooms!I104</f>
        <v>207</v>
      </c>
      <c r="H25" s="87">
        <f>Rooms!J104</f>
        <v>207</v>
      </c>
      <c r="I25" s="88">
        <f>Rooms!K104</f>
        <v>207</v>
      </c>
    </row>
    <row r="26" spans="2:15">
      <c r="B26" s="72" t="s">
        <v>90</v>
      </c>
      <c r="C26" s="89"/>
      <c r="D26" s="89"/>
      <c r="E26" s="90">
        <f>Rooms!G105</f>
        <v>0.86109655755203696</v>
      </c>
      <c r="F26" s="91">
        <f>Rooms!H105</f>
        <v>0.89109655755203698</v>
      </c>
      <c r="G26" s="91">
        <f>Rooms!I105</f>
        <v>0.92109655755203701</v>
      </c>
      <c r="H26" s="91">
        <f>Rooms!J105</f>
        <v>0.94109655755203703</v>
      </c>
      <c r="I26" s="92">
        <f>Rooms!K105</f>
        <v>0.95609655755203704</v>
      </c>
    </row>
    <row r="28" spans="2:15">
      <c r="B28" s="58"/>
      <c r="C28" s="58"/>
      <c r="D28" s="58"/>
      <c r="E28" s="84"/>
      <c r="F28" s="93" t="s">
        <v>348</v>
      </c>
      <c r="G28" s="93" t="s">
        <v>348</v>
      </c>
      <c r="H28" s="93" t="s">
        <v>348</v>
      </c>
      <c r="I28" s="84"/>
      <c r="K28" s="93" t="s">
        <v>348</v>
      </c>
    </row>
    <row r="29" spans="2:15">
      <c r="E29" s="93" t="s">
        <v>347</v>
      </c>
      <c r="F29" s="1"/>
      <c r="G29" s="94"/>
      <c r="H29" s="94"/>
      <c r="I29" s="93" t="s">
        <v>347</v>
      </c>
      <c r="J29" s="93"/>
      <c r="K29" s="93" t="s">
        <v>347</v>
      </c>
      <c r="L29" s="93" t="s">
        <v>347</v>
      </c>
    </row>
    <row r="30" spans="2:15">
      <c r="B30" s="58" t="s">
        <v>92</v>
      </c>
      <c r="E30" s="95" t="s">
        <v>93</v>
      </c>
      <c r="F30" s="95" t="s">
        <v>94</v>
      </c>
      <c r="G30" s="95" t="s">
        <v>95</v>
      </c>
      <c r="H30" s="95" t="s">
        <v>96</v>
      </c>
      <c r="I30" s="95" t="s">
        <v>97</v>
      </c>
      <c r="J30" s="96" t="s">
        <v>98</v>
      </c>
      <c r="K30" s="96" t="s">
        <v>99</v>
      </c>
      <c r="L30" s="96" t="s">
        <v>100</v>
      </c>
      <c r="M30" s="96" t="s">
        <v>101</v>
      </c>
      <c r="O30" s="96" t="s">
        <v>102</v>
      </c>
    </row>
    <row r="31" spans="2:15">
      <c r="B31" s="97" t="s">
        <v>213</v>
      </c>
      <c r="C31" s="98"/>
      <c r="D31" s="98"/>
      <c r="E31" s="99"/>
      <c r="F31" s="100"/>
      <c r="G31" s="101"/>
      <c r="H31" s="101"/>
      <c r="I31" s="100"/>
      <c r="J31" s="100"/>
      <c r="K31" s="100"/>
      <c r="L31" s="102"/>
      <c r="M31" s="102"/>
      <c r="O31" s="103"/>
    </row>
    <row r="32" spans="2:15">
      <c r="B32" s="104" t="s">
        <v>214</v>
      </c>
      <c r="C32" s="105" t="s">
        <v>214</v>
      </c>
      <c r="D32" s="105" t="s">
        <v>215</v>
      </c>
      <c r="E32" s="106">
        <v>0</v>
      </c>
      <c r="F32" s="107">
        <f t="shared" ref="F32:F58" si="3">+E32*0.16</f>
        <v>0</v>
      </c>
      <c r="G32" s="94">
        <v>0</v>
      </c>
      <c r="H32" s="94">
        <v>0</v>
      </c>
      <c r="I32" s="107">
        <f t="shared" ref="I32:I50" si="4">+(E32*2)/12</f>
        <v>0</v>
      </c>
      <c r="J32" s="107">
        <f t="shared" ref="J32:J58" si="5">+I32*0.16</f>
        <v>0</v>
      </c>
      <c r="K32" s="107">
        <f t="shared" ref="K32:K49" si="6">F32+G32+H32+J32</f>
        <v>0</v>
      </c>
      <c r="L32" s="108">
        <f t="shared" ref="L32:L49" si="7">K32+E32+I32</f>
        <v>0</v>
      </c>
      <c r="M32" s="108">
        <f t="shared" ref="M32:M58" si="8">L32*12</f>
        <v>0</v>
      </c>
      <c r="O32" s="109">
        <f>L32*E65</f>
        <v>0</v>
      </c>
    </row>
    <row r="33" spans="2:15">
      <c r="B33" s="104" t="s">
        <v>351</v>
      </c>
      <c r="C33" s="110" t="s">
        <v>352</v>
      </c>
      <c r="D33" s="110" t="s">
        <v>353</v>
      </c>
      <c r="E33" s="111">
        <v>600000</v>
      </c>
      <c r="F33" s="107">
        <f t="shared" si="3"/>
        <v>96000</v>
      </c>
      <c r="G33" s="94">
        <v>10000</v>
      </c>
      <c r="H33" s="94">
        <v>0</v>
      </c>
      <c r="I33" s="107">
        <f t="shared" si="4"/>
        <v>100000</v>
      </c>
      <c r="J33" s="107">
        <f t="shared" si="5"/>
        <v>16000</v>
      </c>
      <c r="K33" s="107">
        <f t="shared" si="6"/>
        <v>122000</v>
      </c>
      <c r="L33" s="108">
        <f>K33+E33+I33</f>
        <v>822000</v>
      </c>
      <c r="M33" s="108">
        <f t="shared" si="8"/>
        <v>9864000</v>
      </c>
      <c r="O33" s="109">
        <f t="shared" ref="O33:O49" si="9">L33*E66</f>
        <v>822000</v>
      </c>
    </row>
    <row r="34" spans="2:15">
      <c r="B34" s="104" t="s">
        <v>216</v>
      </c>
      <c r="C34" s="110" t="s">
        <v>217</v>
      </c>
      <c r="D34" s="110" t="s">
        <v>113</v>
      </c>
      <c r="E34" s="106">
        <v>0</v>
      </c>
      <c r="F34" s="107">
        <f t="shared" si="3"/>
        <v>0</v>
      </c>
      <c r="G34" s="94">
        <v>0</v>
      </c>
      <c r="H34" s="94">
        <v>0</v>
      </c>
      <c r="I34" s="107">
        <f t="shared" si="4"/>
        <v>0</v>
      </c>
      <c r="J34" s="107">
        <f t="shared" si="5"/>
        <v>0</v>
      </c>
      <c r="K34" s="107">
        <f t="shared" si="6"/>
        <v>0</v>
      </c>
      <c r="L34" s="108">
        <f t="shared" si="7"/>
        <v>0</v>
      </c>
      <c r="M34" s="108">
        <f t="shared" si="8"/>
        <v>0</v>
      </c>
      <c r="O34" s="109">
        <f t="shared" si="9"/>
        <v>0</v>
      </c>
    </row>
    <row r="35" spans="2:15">
      <c r="B35" s="104" t="s">
        <v>218</v>
      </c>
      <c r="C35" s="110" t="s">
        <v>219</v>
      </c>
      <c r="D35" s="110" t="s">
        <v>215</v>
      </c>
      <c r="E35" s="106">
        <v>0</v>
      </c>
      <c r="F35" s="107">
        <f t="shared" si="3"/>
        <v>0</v>
      </c>
      <c r="G35" s="94">
        <v>0</v>
      </c>
      <c r="H35" s="94">
        <v>0</v>
      </c>
      <c r="I35" s="107">
        <f t="shared" si="4"/>
        <v>0</v>
      </c>
      <c r="J35" s="107">
        <f t="shared" si="5"/>
        <v>0</v>
      </c>
      <c r="K35" s="107">
        <f t="shared" si="6"/>
        <v>0</v>
      </c>
      <c r="L35" s="108">
        <f t="shared" si="7"/>
        <v>0</v>
      </c>
      <c r="M35" s="108">
        <f t="shared" si="8"/>
        <v>0</v>
      </c>
      <c r="O35" s="109">
        <f t="shared" si="9"/>
        <v>0</v>
      </c>
    </row>
    <row r="36" spans="2:15">
      <c r="B36" s="104" t="s">
        <v>220</v>
      </c>
      <c r="C36" s="110" t="s">
        <v>107</v>
      </c>
      <c r="D36" s="110" t="s">
        <v>116</v>
      </c>
      <c r="E36" s="106">
        <v>0</v>
      </c>
      <c r="F36" s="107">
        <f t="shared" si="3"/>
        <v>0</v>
      </c>
      <c r="G36" s="94">
        <v>0</v>
      </c>
      <c r="H36" s="94">
        <v>0</v>
      </c>
      <c r="I36" s="107">
        <f t="shared" si="4"/>
        <v>0</v>
      </c>
      <c r="J36" s="107">
        <f t="shared" si="5"/>
        <v>0</v>
      </c>
      <c r="K36" s="107">
        <f t="shared" si="6"/>
        <v>0</v>
      </c>
      <c r="L36" s="108">
        <f t="shared" si="7"/>
        <v>0</v>
      </c>
      <c r="M36" s="108">
        <f t="shared" si="8"/>
        <v>0</v>
      </c>
      <c r="O36" s="109">
        <f t="shared" si="9"/>
        <v>0</v>
      </c>
    </row>
    <row r="37" spans="2:15">
      <c r="B37" s="112" t="s">
        <v>220</v>
      </c>
      <c r="C37" s="105" t="s">
        <v>108</v>
      </c>
      <c r="D37" s="110" t="s">
        <v>109</v>
      </c>
      <c r="E37" s="106">
        <v>0</v>
      </c>
      <c r="F37" s="107">
        <f t="shared" si="3"/>
        <v>0</v>
      </c>
      <c r="G37" s="94">
        <v>0</v>
      </c>
      <c r="H37" s="94">
        <v>0</v>
      </c>
      <c r="I37" s="107">
        <f t="shared" si="4"/>
        <v>0</v>
      </c>
      <c r="J37" s="107">
        <f t="shared" si="5"/>
        <v>0</v>
      </c>
      <c r="K37" s="107">
        <f t="shared" si="6"/>
        <v>0</v>
      </c>
      <c r="L37" s="108">
        <f t="shared" si="7"/>
        <v>0</v>
      </c>
      <c r="M37" s="108">
        <f t="shared" si="8"/>
        <v>0</v>
      </c>
      <c r="O37" s="109">
        <f t="shared" si="9"/>
        <v>0</v>
      </c>
    </row>
    <row r="38" spans="2:15">
      <c r="B38" s="112" t="s">
        <v>220</v>
      </c>
      <c r="C38" s="110" t="s">
        <v>110</v>
      </c>
      <c r="D38" s="110" t="s">
        <v>111</v>
      </c>
      <c r="E38" s="106">
        <v>0</v>
      </c>
      <c r="F38" s="107">
        <f t="shared" si="3"/>
        <v>0</v>
      </c>
      <c r="G38" s="94">
        <v>0</v>
      </c>
      <c r="H38" s="94">
        <v>0</v>
      </c>
      <c r="I38" s="107">
        <f t="shared" si="4"/>
        <v>0</v>
      </c>
      <c r="J38" s="107">
        <f t="shared" si="5"/>
        <v>0</v>
      </c>
      <c r="K38" s="107">
        <f t="shared" si="6"/>
        <v>0</v>
      </c>
      <c r="L38" s="108">
        <f t="shared" si="7"/>
        <v>0</v>
      </c>
      <c r="M38" s="108">
        <f t="shared" si="8"/>
        <v>0</v>
      </c>
      <c r="O38" s="109">
        <f t="shared" si="9"/>
        <v>0</v>
      </c>
    </row>
    <row r="39" spans="2:15">
      <c r="B39" s="112" t="s">
        <v>220</v>
      </c>
      <c r="C39" s="110" t="s">
        <v>221</v>
      </c>
      <c r="D39" s="110" t="s">
        <v>113</v>
      </c>
      <c r="E39" s="106">
        <v>0</v>
      </c>
      <c r="F39" s="107">
        <f t="shared" si="3"/>
        <v>0</v>
      </c>
      <c r="G39" s="94">
        <v>0</v>
      </c>
      <c r="H39" s="94">
        <v>0</v>
      </c>
      <c r="I39" s="107">
        <f t="shared" si="4"/>
        <v>0</v>
      </c>
      <c r="J39" s="107">
        <f t="shared" si="5"/>
        <v>0</v>
      </c>
      <c r="K39" s="107">
        <f t="shared" si="6"/>
        <v>0</v>
      </c>
      <c r="L39" s="108">
        <f t="shared" si="7"/>
        <v>0</v>
      </c>
      <c r="M39" s="108">
        <f t="shared" si="8"/>
        <v>0</v>
      </c>
      <c r="O39" s="109">
        <f t="shared" si="9"/>
        <v>0</v>
      </c>
    </row>
    <row r="40" spans="2:15">
      <c r="B40" s="112" t="s">
        <v>222</v>
      </c>
      <c r="C40" s="110" t="s">
        <v>107</v>
      </c>
      <c r="D40" s="110" t="s">
        <v>116</v>
      </c>
      <c r="E40" s="106">
        <v>0</v>
      </c>
      <c r="F40" s="107">
        <f t="shared" si="3"/>
        <v>0</v>
      </c>
      <c r="G40" s="94">
        <v>0</v>
      </c>
      <c r="H40" s="94">
        <v>0</v>
      </c>
      <c r="I40" s="107">
        <f t="shared" si="4"/>
        <v>0</v>
      </c>
      <c r="J40" s="107">
        <f t="shared" si="5"/>
        <v>0</v>
      </c>
      <c r="K40" s="107">
        <f t="shared" si="6"/>
        <v>0</v>
      </c>
      <c r="L40" s="108">
        <f t="shared" si="7"/>
        <v>0</v>
      </c>
      <c r="M40" s="108">
        <f t="shared" si="8"/>
        <v>0</v>
      </c>
      <c r="O40" s="109">
        <f t="shared" si="9"/>
        <v>0</v>
      </c>
    </row>
    <row r="41" spans="2:15">
      <c r="B41" s="112" t="s">
        <v>222</v>
      </c>
      <c r="C41" s="110" t="s">
        <v>108</v>
      </c>
      <c r="D41" s="110" t="s">
        <v>109</v>
      </c>
      <c r="E41" s="106">
        <v>0</v>
      </c>
      <c r="F41" s="107">
        <f t="shared" si="3"/>
        <v>0</v>
      </c>
      <c r="G41" s="94">
        <v>0</v>
      </c>
      <c r="H41" s="94">
        <v>0</v>
      </c>
      <c r="I41" s="107">
        <f t="shared" si="4"/>
        <v>0</v>
      </c>
      <c r="J41" s="107">
        <f t="shared" si="5"/>
        <v>0</v>
      </c>
      <c r="K41" s="107">
        <f t="shared" si="6"/>
        <v>0</v>
      </c>
      <c r="L41" s="108">
        <f t="shared" si="7"/>
        <v>0</v>
      </c>
      <c r="M41" s="108">
        <f t="shared" si="8"/>
        <v>0</v>
      </c>
      <c r="O41" s="109">
        <f t="shared" si="9"/>
        <v>0</v>
      </c>
    </row>
    <row r="42" spans="2:15">
      <c r="B42" s="112" t="s">
        <v>223</v>
      </c>
      <c r="C42" s="105" t="s">
        <v>107</v>
      </c>
      <c r="D42" s="110" t="s">
        <v>116</v>
      </c>
      <c r="E42" s="106">
        <v>0</v>
      </c>
      <c r="F42" s="107">
        <f t="shared" si="3"/>
        <v>0</v>
      </c>
      <c r="G42" s="94">
        <v>0</v>
      </c>
      <c r="H42" s="94">
        <v>0</v>
      </c>
      <c r="I42" s="107">
        <f t="shared" si="4"/>
        <v>0</v>
      </c>
      <c r="J42" s="107">
        <f t="shared" si="5"/>
        <v>0</v>
      </c>
      <c r="K42" s="107">
        <f t="shared" si="6"/>
        <v>0</v>
      </c>
      <c r="L42" s="108">
        <f t="shared" si="7"/>
        <v>0</v>
      </c>
      <c r="M42" s="108">
        <f t="shared" si="8"/>
        <v>0</v>
      </c>
      <c r="O42" s="109">
        <f t="shared" si="9"/>
        <v>0</v>
      </c>
    </row>
    <row r="43" spans="2:15">
      <c r="B43" s="112" t="s">
        <v>223</v>
      </c>
      <c r="C43" s="110" t="s">
        <v>108</v>
      </c>
      <c r="D43" s="110" t="s">
        <v>109</v>
      </c>
      <c r="E43" s="106">
        <v>0</v>
      </c>
      <c r="F43" s="107">
        <f t="shared" si="3"/>
        <v>0</v>
      </c>
      <c r="G43" s="94">
        <v>0</v>
      </c>
      <c r="H43" s="94">
        <v>0</v>
      </c>
      <c r="I43" s="107">
        <f t="shared" si="4"/>
        <v>0</v>
      </c>
      <c r="J43" s="107">
        <f t="shared" si="5"/>
        <v>0</v>
      </c>
      <c r="K43" s="107">
        <f t="shared" si="6"/>
        <v>0</v>
      </c>
      <c r="L43" s="108">
        <f t="shared" si="7"/>
        <v>0</v>
      </c>
      <c r="M43" s="108">
        <f t="shared" si="8"/>
        <v>0</v>
      </c>
      <c r="O43" s="109">
        <f t="shared" si="9"/>
        <v>0</v>
      </c>
    </row>
    <row r="44" spans="2:15">
      <c r="B44" s="112" t="s">
        <v>223</v>
      </c>
      <c r="C44" s="110" t="s">
        <v>224</v>
      </c>
      <c r="D44" s="110" t="s">
        <v>113</v>
      </c>
      <c r="E44" s="106">
        <v>0</v>
      </c>
      <c r="F44" s="107">
        <f t="shared" si="3"/>
        <v>0</v>
      </c>
      <c r="G44" s="94">
        <v>0</v>
      </c>
      <c r="H44" s="94">
        <v>0</v>
      </c>
      <c r="I44" s="107">
        <f t="shared" si="4"/>
        <v>0</v>
      </c>
      <c r="J44" s="107">
        <f t="shared" si="5"/>
        <v>0</v>
      </c>
      <c r="K44" s="107">
        <f t="shared" si="6"/>
        <v>0</v>
      </c>
      <c r="L44" s="108">
        <f t="shared" si="7"/>
        <v>0</v>
      </c>
      <c r="M44" s="108">
        <f t="shared" si="8"/>
        <v>0</v>
      </c>
      <c r="O44" s="109">
        <f t="shared" si="9"/>
        <v>0</v>
      </c>
    </row>
    <row r="45" spans="2:15">
      <c r="B45" s="112" t="s">
        <v>225</v>
      </c>
      <c r="C45" s="110" t="s">
        <v>107</v>
      </c>
      <c r="D45" s="110" t="s">
        <v>116</v>
      </c>
      <c r="E45" s="106">
        <v>0</v>
      </c>
      <c r="F45" s="107">
        <f t="shared" si="3"/>
        <v>0</v>
      </c>
      <c r="G45" s="94">
        <v>0</v>
      </c>
      <c r="H45" s="94">
        <v>0</v>
      </c>
      <c r="I45" s="107">
        <f t="shared" si="4"/>
        <v>0</v>
      </c>
      <c r="J45" s="107">
        <f t="shared" si="5"/>
        <v>0</v>
      </c>
      <c r="K45" s="107">
        <f t="shared" si="6"/>
        <v>0</v>
      </c>
      <c r="L45" s="108">
        <f t="shared" si="7"/>
        <v>0</v>
      </c>
      <c r="M45" s="108">
        <f t="shared" si="8"/>
        <v>0</v>
      </c>
      <c r="O45" s="109">
        <f t="shared" si="9"/>
        <v>0</v>
      </c>
    </row>
    <row r="46" spans="2:15">
      <c r="B46" s="112" t="s">
        <v>225</v>
      </c>
      <c r="C46" s="110" t="s">
        <v>108</v>
      </c>
      <c r="D46" s="110" t="s">
        <v>109</v>
      </c>
      <c r="E46" s="106">
        <v>0</v>
      </c>
      <c r="F46" s="107">
        <f t="shared" si="3"/>
        <v>0</v>
      </c>
      <c r="G46" s="94">
        <v>0</v>
      </c>
      <c r="H46" s="94">
        <v>0</v>
      </c>
      <c r="I46" s="107">
        <f t="shared" si="4"/>
        <v>0</v>
      </c>
      <c r="J46" s="107">
        <f t="shared" si="5"/>
        <v>0</v>
      </c>
      <c r="K46" s="107">
        <f t="shared" si="6"/>
        <v>0</v>
      </c>
      <c r="L46" s="108">
        <f t="shared" si="7"/>
        <v>0</v>
      </c>
      <c r="M46" s="108">
        <f t="shared" si="8"/>
        <v>0</v>
      </c>
      <c r="O46" s="109">
        <f t="shared" si="9"/>
        <v>0</v>
      </c>
    </row>
    <row r="47" spans="2:15">
      <c r="B47" s="112" t="s">
        <v>225</v>
      </c>
      <c r="C47" s="110" t="s">
        <v>226</v>
      </c>
      <c r="D47" s="110" t="s">
        <v>113</v>
      </c>
      <c r="E47" s="106">
        <v>0</v>
      </c>
      <c r="F47" s="107">
        <f t="shared" si="3"/>
        <v>0</v>
      </c>
      <c r="G47" s="94">
        <v>0</v>
      </c>
      <c r="H47" s="94">
        <v>0</v>
      </c>
      <c r="I47" s="107">
        <f t="shared" si="4"/>
        <v>0</v>
      </c>
      <c r="J47" s="107">
        <f t="shared" si="5"/>
        <v>0</v>
      </c>
      <c r="K47" s="107">
        <f t="shared" si="6"/>
        <v>0</v>
      </c>
      <c r="L47" s="108">
        <f t="shared" si="7"/>
        <v>0</v>
      </c>
      <c r="M47" s="108">
        <f t="shared" si="8"/>
        <v>0</v>
      </c>
      <c r="O47" s="109">
        <f t="shared" si="9"/>
        <v>0</v>
      </c>
    </row>
    <row r="48" spans="2:15">
      <c r="B48" s="112" t="s">
        <v>227</v>
      </c>
      <c r="C48" s="110" t="s">
        <v>107</v>
      </c>
      <c r="D48" s="110" t="s">
        <v>116</v>
      </c>
      <c r="E48" s="106">
        <v>0</v>
      </c>
      <c r="F48" s="107">
        <f t="shared" si="3"/>
        <v>0</v>
      </c>
      <c r="G48" s="94">
        <v>0</v>
      </c>
      <c r="H48" s="94">
        <v>0</v>
      </c>
      <c r="I48" s="107">
        <f t="shared" si="4"/>
        <v>0</v>
      </c>
      <c r="J48" s="107">
        <f t="shared" si="5"/>
        <v>0</v>
      </c>
      <c r="K48" s="107">
        <f t="shared" si="6"/>
        <v>0</v>
      </c>
      <c r="L48" s="108">
        <f t="shared" si="7"/>
        <v>0</v>
      </c>
      <c r="M48" s="108">
        <f t="shared" si="8"/>
        <v>0</v>
      </c>
      <c r="O48" s="109">
        <f t="shared" si="9"/>
        <v>0</v>
      </c>
    </row>
    <row r="49" spans="2:17">
      <c r="B49" s="112" t="s">
        <v>227</v>
      </c>
      <c r="C49" s="110" t="s">
        <v>108</v>
      </c>
      <c r="D49" s="110" t="s">
        <v>109</v>
      </c>
      <c r="E49" s="106">
        <v>0</v>
      </c>
      <c r="F49" s="107">
        <f t="shared" si="3"/>
        <v>0</v>
      </c>
      <c r="G49" s="94">
        <v>0</v>
      </c>
      <c r="H49" s="94">
        <v>0</v>
      </c>
      <c r="I49" s="107">
        <f t="shared" si="4"/>
        <v>0</v>
      </c>
      <c r="J49" s="107">
        <f t="shared" si="5"/>
        <v>0</v>
      </c>
      <c r="K49" s="107">
        <f t="shared" si="6"/>
        <v>0</v>
      </c>
      <c r="L49" s="108">
        <f t="shared" si="7"/>
        <v>0</v>
      </c>
      <c r="M49" s="108">
        <f t="shared" si="8"/>
        <v>0</v>
      </c>
      <c r="O49" s="109">
        <f t="shared" si="9"/>
        <v>0</v>
      </c>
    </row>
    <row r="50" spans="2:17">
      <c r="B50" s="112"/>
      <c r="C50" s="110"/>
      <c r="D50" s="110"/>
      <c r="E50" s="106"/>
      <c r="F50" s="107">
        <f t="shared" si="3"/>
        <v>0</v>
      </c>
      <c r="G50" s="94"/>
      <c r="H50" s="94"/>
      <c r="I50" s="107">
        <f t="shared" si="4"/>
        <v>0</v>
      </c>
      <c r="J50" s="107">
        <f t="shared" si="5"/>
        <v>0</v>
      </c>
      <c r="K50" s="107"/>
      <c r="L50" s="108"/>
      <c r="M50" s="108"/>
      <c r="O50" s="113"/>
    </row>
    <row r="51" spans="2:17">
      <c r="B51" s="114" t="s">
        <v>228</v>
      </c>
      <c r="C51" s="110"/>
      <c r="D51" s="110"/>
      <c r="E51" s="106"/>
      <c r="F51" s="107"/>
      <c r="G51" s="94"/>
      <c r="H51" s="94"/>
      <c r="I51" s="107"/>
      <c r="J51" s="107"/>
      <c r="K51" s="107"/>
      <c r="L51" s="108"/>
      <c r="M51" s="108"/>
      <c r="O51" s="113"/>
    </row>
    <row r="52" spans="2:17">
      <c r="B52" s="112" t="s">
        <v>229</v>
      </c>
      <c r="C52" s="110" t="s">
        <v>230</v>
      </c>
      <c r="D52" s="110" t="s">
        <v>116</v>
      </c>
      <c r="E52" s="106">
        <v>0</v>
      </c>
      <c r="F52" s="107">
        <f t="shared" si="3"/>
        <v>0</v>
      </c>
      <c r="G52" s="94">
        <v>0</v>
      </c>
      <c r="H52" s="94">
        <v>0</v>
      </c>
      <c r="I52" s="107">
        <f t="shared" ref="I52:I54" si="10">+(E52*2)/12</f>
        <v>0</v>
      </c>
      <c r="J52" s="107">
        <f t="shared" si="5"/>
        <v>0</v>
      </c>
      <c r="K52" s="107">
        <f t="shared" ref="K52:K54" si="11">F52+G52+H52+J52</f>
        <v>0</v>
      </c>
      <c r="L52" s="108">
        <f t="shared" ref="L52:L54" si="12">K52+E52+I52</f>
        <v>0</v>
      </c>
      <c r="M52" s="108">
        <f t="shared" si="8"/>
        <v>0</v>
      </c>
      <c r="O52" s="109">
        <f>L52*E85</f>
        <v>0</v>
      </c>
    </row>
    <row r="53" spans="2:17">
      <c r="B53" s="112" t="s">
        <v>231</v>
      </c>
      <c r="C53" s="110" t="s">
        <v>232</v>
      </c>
      <c r="D53" s="110" t="s">
        <v>109</v>
      </c>
      <c r="E53" s="106">
        <v>0</v>
      </c>
      <c r="F53" s="107">
        <f t="shared" si="3"/>
        <v>0</v>
      </c>
      <c r="G53" s="94">
        <v>0</v>
      </c>
      <c r="H53" s="94">
        <v>0</v>
      </c>
      <c r="I53" s="107">
        <f t="shared" si="10"/>
        <v>0</v>
      </c>
      <c r="J53" s="107">
        <f t="shared" si="5"/>
        <v>0</v>
      </c>
      <c r="K53" s="107">
        <f t="shared" si="11"/>
        <v>0</v>
      </c>
      <c r="L53" s="108">
        <f t="shared" si="12"/>
        <v>0</v>
      </c>
      <c r="M53" s="108">
        <f t="shared" si="8"/>
        <v>0</v>
      </c>
      <c r="O53" s="109">
        <f>L53*E86</f>
        <v>0</v>
      </c>
    </row>
    <row r="54" spans="2:17">
      <c r="B54" s="112" t="s">
        <v>233</v>
      </c>
      <c r="C54" s="110" t="s">
        <v>234</v>
      </c>
      <c r="D54" s="110" t="s">
        <v>113</v>
      </c>
      <c r="E54" s="106">
        <v>0</v>
      </c>
      <c r="F54" s="107">
        <f t="shared" si="3"/>
        <v>0</v>
      </c>
      <c r="G54" s="94">
        <v>0</v>
      </c>
      <c r="H54" s="94">
        <v>0</v>
      </c>
      <c r="I54" s="107">
        <f t="shared" si="10"/>
        <v>0</v>
      </c>
      <c r="J54" s="107">
        <f t="shared" si="5"/>
        <v>0</v>
      </c>
      <c r="K54" s="107">
        <f t="shared" si="11"/>
        <v>0</v>
      </c>
      <c r="L54" s="108">
        <f t="shared" si="12"/>
        <v>0</v>
      </c>
      <c r="M54" s="108">
        <f t="shared" si="8"/>
        <v>0</v>
      </c>
      <c r="O54" s="109">
        <f>L54*E87</f>
        <v>0</v>
      </c>
    </row>
    <row r="55" spans="2:17">
      <c r="B55" s="112"/>
      <c r="C55" s="110"/>
      <c r="D55" s="110"/>
      <c r="E55" s="106"/>
      <c r="F55" s="107"/>
      <c r="G55" s="94"/>
      <c r="H55" s="94"/>
      <c r="I55" s="107"/>
      <c r="J55" s="107"/>
      <c r="K55" s="107"/>
      <c r="L55" s="108"/>
      <c r="M55" s="108"/>
      <c r="O55" s="113"/>
    </row>
    <row r="56" spans="2:17">
      <c r="B56" s="114" t="s">
        <v>235</v>
      </c>
      <c r="C56" s="110"/>
      <c r="D56" s="110"/>
      <c r="E56" s="106"/>
      <c r="F56" s="107"/>
      <c r="G56" s="94"/>
      <c r="H56" s="94"/>
      <c r="I56" s="107"/>
      <c r="J56" s="107"/>
      <c r="K56" s="107"/>
      <c r="L56" s="108"/>
      <c r="M56" s="108"/>
      <c r="O56" s="109"/>
    </row>
    <row r="57" spans="2:17">
      <c r="B57" s="112" t="s">
        <v>236</v>
      </c>
      <c r="C57" s="110" t="s">
        <v>107</v>
      </c>
      <c r="D57" s="110" t="s">
        <v>116</v>
      </c>
      <c r="E57" s="106">
        <v>0</v>
      </c>
      <c r="F57" s="107">
        <f t="shared" si="3"/>
        <v>0</v>
      </c>
      <c r="G57" s="94">
        <v>0</v>
      </c>
      <c r="H57" s="94">
        <v>0</v>
      </c>
      <c r="I57" s="107">
        <f t="shared" ref="I57:I58" si="13">+(E57*2)/12</f>
        <v>0</v>
      </c>
      <c r="J57" s="107">
        <f t="shared" si="5"/>
        <v>0</v>
      </c>
      <c r="K57" s="107">
        <f t="shared" ref="K57:K58" si="14">F57+G57+H57+J57</f>
        <v>0</v>
      </c>
      <c r="L57" s="108">
        <f t="shared" ref="L57:L58" si="15">K57+E57+I57</f>
        <v>0</v>
      </c>
      <c r="M57" s="108">
        <f t="shared" si="8"/>
        <v>0</v>
      </c>
      <c r="O57" s="109">
        <f>L57*E90</f>
        <v>0</v>
      </c>
    </row>
    <row r="58" spans="2:17">
      <c r="B58" s="112" t="s">
        <v>236</v>
      </c>
      <c r="C58" s="110" t="s">
        <v>237</v>
      </c>
      <c r="D58" s="110" t="s">
        <v>113</v>
      </c>
      <c r="E58" s="106">
        <v>0</v>
      </c>
      <c r="F58" s="107">
        <f t="shared" si="3"/>
        <v>0</v>
      </c>
      <c r="G58" s="94">
        <v>0</v>
      </c>
      <c r="H58" s="94">
        <v>0</v>
      </c>
      <c r="I58" s="107">
        <f t="shared" si="13"/>
        <v>0</v>
      </c>
      <c r="J58" s="107">
        <f t="shared" si="5"/>
        <v>0</v>
      </c>
      <c r="K58" s="107">
        <f t="shared" si="14"/>
        <v>0</v>
      </c>
      <c r="L58" s="108">
        <f t="shared" si="15"/>
        <v>0</v>
      </c>
      <c r="M58" s="108">
        <f t="shared" si="8"/>
        <v>0</v>
      </c>
      <c r="O58" s="109">
        <f>L58*E91</f>
        <v>0</v>
      </c>
    </row>
    <row r="59" spans="2:17">
      <c r="B59" s="112"/>
      <c r="C59" s="110"/>
      <c r="D59" s="110"/>
      <c r="E59" s="106"/>
      <c r="F59" s="107"/>
      <c r="G59" s="94"/>
      <c r="H59" s="94"/>
      <c r="I59" s="107"/>
      <c r="J59" s="107"/>
      <c r="K59" s="107"/>
      <c r="L59" s="108"/>
      <c r="M59" s="108"/>
      <c r="O59" s="113"/>
    </row>
    <row r="60" spans="2:17">
      <c r="B60" s="115" t="s">
        <v>35</v>
      </c>
      <c r="C60" s="116"/>
      <c r="D60" s="116"/>
      <c r="E60" s="117"/>
      <c r="F60" s="2"/>
      <c r="G60" s="118"/>
      <c r="H60" s="118"/>
      <c r="I60" s="118"/>
      <c r="J60" s="118"/>
      <c r="K60" s="118"/>
      <c r="L60" s="119"/>
      <c r="M60" s="120"/>
      <c r="O60" s="121">
        <f>SUM(O32:O58)</f>
        <v>822000</v>
      </c>
    </row>
    <row r="61" spans="2:17">
      <c r="H61" s="56"/>
    </row>
    <row r="62" spans="2:17">
      <c r="H62" s="56"/>
    </row>
    <row r="63" spans="2:17">
      <c r="B63" s="58" t="s">
        <v>118</v>
      </c>
      <c r="E63" s="84" t="s">
        <v>30</v>
      </c>
      <c r="F63" s="84" t="s">
        <v>31</v>
      </c>
      <c r="G63" s="84" t="s">
        <v>32</v>
      </c>
      <c r="H63" s="84" t="s">
        <v>33</v>
      </c>
      <c r="I63" s="84" t="s">
        <v>34</v>
      </c>
      <c r="L63" s="58" t="s">
        <v>119</v>
      </c>
      <c r="M63" s="84" t="s">
        <v>30</v>
      </c>
      <c r="N63" s="84" t="s">
        <v>31</v>
      </c>
      <c r="O63" s="84" t="s">
        <v>32</v>
      </c>
      <c r="P63" s="84" t="s">
        <v>33</v>
      </c>
      <c r="Q63" s="84" t="s">
        <v>34</v>
      </c>
    </row>
    <row r="64" spans="2:17">
      <c r="B64" s="97" t="s">
        <v>213</v>
      </c>
      <c r="C64" s="98"/>
      <c r="D64" s="98"/>
      <c r="E64" s="122"/>
      <c r="F64" s="123"/>
      <c r="G64" s="123"/>
      <c r="H64" s="123"/>
      <c r="I64" s="124"/>
      <c r="K64" s="83"/>
      <c r="L64" s="125" t="s">
        <v>120</v>
      </c>
      <c r="M64" s="126">
        <f>M66-M65</f>
        <v>1</v>
      </c>
      <c r="N64" s="126">
        <f t="shared" ref="N64:Q64" si="16">N66-N65</f>
        <v>1</v>
      </c>
      <c r="O64" s="126">
        <f t="shared" si="16"/>
        <v>1</v>
      </c>
      <c r="P64" s="126">
        <f t="shared" si="16"/>
        <v>1</v>
      </c>
      <c r="Q64" s="127">
        <f t="shared" si="16"/>
        <v>1</v>
      </c>
    </row>
    <row r="65" spans="2:17">
      <c r="B65" s="104" t="s">
        <v>214</v>
      </c>
      <c r="C65" s="105" t="s">
        <v>214</v>
      </c>
      <c r="D65" s="105" t="s">
        <v>215</v>
      </c>
      <c r="E65" s="128">
        <v>0</v>
      </c>
      <c r="F65" s="129">
        <f>E65</f>
        <v>0</v>
      </c>
      <c r="G65" s="129">
        <f>F65</f>
        <v>0</v>
      </c>
      <c r="H65" s="129">
        <f>G65</f>
        <v>0</v>
      </c>
      <c r="I65" s="130">
        <f>H65</f>
        <v>0</v>
      </c>
      <c r="K65" s="83"/>
      <c r="L65" s="104" t="s">
        <v>121</v>
      </c>
      <c r="M65" s="131">
        <v>0</v>
      </c>
      <c r="N65" s="131">
        <v>0</v>
      </c>
      <c r="O65" s="131">
        <v>0</v>
      </c>
      <c r="P65" s="131">
        <v>0</v>
      </c>
      <c r="Q65" s="132">
        <v>0</v>
      </c>
    </row>
    <row r="66" spans="2:17">
      <c r="B66" s="104" t="s">
        <v>351</v>
      </c>
      <c r="C66" s="110" t="s">
        <v>352</v>
      </c>
      <c r="D66" s="110" t="s">
        <v>353</v>
      </c>
      <c r="E66" s="128">
        <v>1</v>
      </c>
      <c r="F66" s="129">
        <f t="shared" ref="F66:G91" si="17">E66</f>
        <v>1</v>
      </c>
      <c r="G66" s="129">
        <f t="shared" si="17"/>
        <v>1</v>
      </c>
      <c r="H66" s="129">
        <f t="shared" ref="H66:I66" si="18">G66</f>
        <v>1</v>
      </c>
      <c r="I66" s="130">
        <f t="shared" si="18"/>
        <v>1</v>
      </c>
      <c r="K66" s="83"/>
      <c r="L66" s="133" t="s">
        <v>35</v>
      </c>
      <c r="M66" s="134">
        <f>E93</f>
        <v>1</v>
      </c>
      <c r="N66" s="134">
        <f>F93</f>
        <v>1</v>
      </c>
      <c r="O66" s="134">
        <f>G93</f>
        <v>1</v>
      </c>
      <c r="P66" s="134">
        <f>H93</f>
        <v>1</v>
      </c>
      <c r="Q66" s="135">
        <f>I93</f>
        <v>1</v>
      </c>
    </row>
    <row r="67" spans="2:17">
      <c r="B67" s="104" t="s">
        <v>216</v>
      </c>
      <c r="C67" s="110" t="s">
        <v>217</v>
      </c>
      <c r="D67" s="110" t="s">
        <v>113</v>
      </c>
      <c r="E67" s="128">
        <v>0</v>
      </c>
      <c r="F67" s="129">
        <f t="shared" si="17"/>
        <v>0</v>
      </c>
      <c r="G67" s="129">
        <f t="shared" si="17"/>
        <v>0</v>
      </c>
      <c r="H67" s="129">
        <f t="shared" ref="H67:I67" si="19">G67</f>
        <v>0</v>
      </c>
      <c r="I67" s="130">
        <f t="shared" si="19"/>
        <v>0</v>
      </c>
      <c r="K67" s="83"/>
    </row>
    <row r="68" spans="2:17">
      <c r="B68" s="104" t="s">
        <v>218</v>
      </c>
      <c r="C68" s="110" t="s">
        <v>219</v>
      </c>
      <c r="D68" s="110" t="s">
        <v>215</v>
      </c>
      <c r="E68" s="128">
        <v>0</v>
      </c>
      <c r="F68" s="129">
        <f t="shared" si="17"/>
        <v>0</v>
      </c>
      <c r="G68" s="129">
        <f t="shared" si="17"/>
        <v>0</v>
      </c>
      <c r="H68" s="129">
        <f t="shared" ref="H68:I68" si="20">G68</f>
        <v>0</v>
      </c>
      <c r="I68" s="130">
        <f t="shared" si="20"/>
        <v>0</v>
      </c>
      <c r="K68" s="83"/>
    </row>
    <row r="69" spans="2:17">
      <c r="B69" s="104" t="s">
        <v>220</v>
      </c>
      <c r="C69" s="110" t="s">
        <v>107</v>
      </c>
      <c r="D69" s="110" t="s">
        <v>116</v>
      </c>
      <c r="E69" s="128">
        <v>0</v>
      </c>
      <c r="F69" s="129">
        <f t="shared" si="17"/>
        <v>0</v>
      </c>
      <c r="G69" s="129">
        <f t="shared" si="17"/>
        <v>0</v>
      </c>
      <c r="H69" s="129">
        <f t="shared" ref="H69:I69" si="21">G69</f>
        <v>0</v>
      </c>
      <c r="I69" s="130">
        <f t="shared" si="21"/>
        <v>0</v>
      </c>
      <c r="K69" s="83"/>
    </row>
    <row r="70" spans="2:17">
      <c r="B70" s="112" t="s">
        <v>220</v>
      </c>
      <c r="C70" s="105" t="s">
        <v>108</v>
      </c>
      <c r="D70" s="110" t="s">
        <v>109</v>
      </c>
      <c r="E70" s="128">
        <v>0</v>
      </c>
      <c r="F70" s="129">
        <f t="shared" si="17"/>
        <v>0</v>
      </c>
      <c r="G70" s="129">
        <f t="shared" si="17"/>
        <v>0</v>
      </c>
      <c r="H70" s="129">
        <f t="shared" ref="H70:I70" si="22">G70</f>
        <v>0</v>
      </c>
      <c r="I70" s="130">
        <f t="shared" si="22"/>
        <v>0</v>
      </c>
      <c r="K70" s="83"/>
    </row>
    <row r="71" spans="2:17">
      <c r="B71" s="112" t="s">
        <v>220</v>
      </c>
      <c r="C71" s="110" t="s">
        <v>110</v>
      </c>
      <c r="D71" s="110" t="s">
        <v>111</v>
      </c>
      <c r="E71" s="128">
        <v>0</v>
      </c>
      <c r="F71" s="129">
        <f t="shared" si="17"/>
        <v>0</v>
      </c>
      <c r="G71" s="129">
        <f t="shared" si="17"/>
        <v>0</v>
      </c>
      <c r="H71" s="129">
        <f t="shared" ref="H71:I71" si="23">G71</f>
        <v>0</v>
      </c>
      <c r="I71" s="130">
        <f t="shared" si="23"/>
        <v>0</v>
      </c>
      <c r="K71" s="83"/>
    </row>
    <row r="72" spans="2:17">
      <c r="B72" s="112" t="s">
        <v>220</v>
      </c>
      <c r="C72" s="110" t="s">
        <v>221</v>
      </c>
      <c r="D72" s="110" t="s">
        <v>113</v>
      </c>
      <c r="E72" s="128">
        <v>0</v>
      </c>
      <c r="F72" s="129">
        <f t="shared" si="17"/>
        <v>0</v>
      </c>
      <c r="G72" s="129">
        <f t="shared" si="17"/>
        <v>0</v>
      </c>
      <c r="H72" s="129">
        <f t="shared" ref="H72:I72" si="24">G72</f>
        <v>0</v>
      </c>
      <c r="I72" s="130">
        <f t="shared" si="24"/>
        <v>0</v>
      </c>
      <c r="K72" s="83"/>
    </row>
    <row r="73" spans="2:17">
      <c r="B73" s="112" t="s">
        <v>222</v>
      </c>
      <c r="C73" s="110" t="s">
        <v>107</v>
      </c>
      <c r="D73" s="110" t="s">
        <v>116</v>
      </c>
      <c r="E73" s="128">
        <v>0</v>
      </c>
      <c r="F73" s="129">
        <f t="shared" si="17"/>
        <v>0</v>
      </c>
      <c r="G73" s="129">
        <f t="shared" si="17"/>
        <v>0</v>
      </c>
      <c r="H73" s="129">
        <f t="shared" ref="H73:I73" si="25">G73</f>
        <v>0</v>
      </c>
      <c r="I73" s="130">
        <f t="shared" si="25"/>
        <v>0</v>
      </c>
      <c r="K73" s="83"/>
    </row>
    <row r="74" spans="2:17">
      <c r="B74" s="112" t="s">
        <v>222</v>
      </c>
      <c r="C74" s="110" t="s">
        <v>108</v>
      </c>
      <c r="D74" s="110" t="s">
        <v>109</v>
      </c>
      <c r="E74" s="128">
        <v>0</v>
      </c>
      <c r="F74" s="129">
        <f t="shared" si="17"/>
        <v>0</v>
      </c>
      <c r="G74" s="129">
        <f t="shared" si="17"/>
        <v>0</v>
      </c>
      <c r="H74" s="129">
        <f t="shared" ref="H74:I74" si="26">G74</f>
        <v>0</v>
      </c>
      <c r="I74" s="130">
        <f t="shared" si="26"/>
        <v>0</v>
      </c>
      <c r="K74" s="83"/>
    </row>
    <row r="75" spans="2:17">
      <c r="B75" s="112" t="s">
        <v>223</v>
      </c>
      <c r="C75" s="105" t="s">
        <v>107</v>
      </c>
      <c r="D75" s="110" t="s">
        <v>116</v>
      </c>
      <c r="E75" s="128">
        <v>0</v>
      </c>
      <c r="F75" s="129">
        <f t="shared" si="17"/>
        <v>0</v>
      </c>
      <c r="G75" s="129">
        <f t="shared" si="17"/>
        <v>0</v>
      </c>
      <c r="H75" s="129">
        <f t="shared" ref="H75:I75" si="27">G75</f>
        <v>0</v>
      </c>
      <c r="I75" s="130">
        <f t="shared" si="27"/>
        <v>0</v>
      </c>
      <c r="K75" s="83"/>
    </row>
    <row r="76" spans="2:17">
      <c r="B76" s="112" t="s">
        <v>223</v>
      </c>
      <c r="C76" s="110" t="s">
        <v>108</v>
      </c>
      <c r="D76" s="110" t="s">
        <v>109</v>
      </c>
      <c r="E76" s="128">
        <v>0</v>
      </c>
      <c r="F76" s="129">
        <v>0</v>
      </c>
      <c r="G76" s="129">
        <f t="shared" si="17"/>
        <v>0</v>
      </c>
      <c r="H76" s="129">
        <f t="shared" ref="H76:I76" si="28">G76</f>
        <v>0</v>
      </c>
      <c r="I76" s="130">
        <f t="shared" si="28"/>
        <v>0</v>
      </c>
      <c r="K76" s="83"/>
    </row>
    <row r="77" spans="2:17">
      <c r="B77" s="112" t="s">
        <v>223</v>
      </c>
      <c r="C77" s="110" t="s">
        <v>224</v>
      </c>
      <c r="D77" s="110" t="s">
        <v>113</v>
      </c>
      <c r="E77" s="128">
        <v>0</v>
      </c>
      <c r="F77" s="129">
        <f t="shared" si="17"/>
        <v>0</v>
      </c>
      <c r="G77" s="129">
        <f t="shared" si="17"/>
        <v>0</v>
      </c>
      <c r="H77" s="129">
        <f t="shared" ref="H77:I77" si="29">G77</f>
        <v>0</v>
      </c>
      <c r="I77" s="130">
        <f t="shared" si="29"/>
        <v>0</v>
      </c>
      <c r="K77" s="83"/>
    </row>
    <row r="78" spans="2:17">
      <c r="B78" s="112" t="s">
        <v>225</v>
      </c>
      <c r="C78" s="110" t="s">
        <v>107</v>
      </c>
      <c r="D78" s="110" t="s">
        <v>116</v>
      </c>
      <c r="E78" s="128">
        <v>0</v>
      </c>
      <c r="F78" s="129">
        <f t="shared" si="17"/>
        <v>0</v>
      </c>
      <c r="G78" s="129">
        <f t="shared" si="17"/>
        <v>0</v>
      </c>
      <c r="H78" s="129">
        <f t="shared" ref="H78:I78" si="30">G78</f>
        <v>0</v>
      </c>
      <c r="I78" s="130">
        <f t="shared" si="30"/>
        <v>0</v>
      </c>
      <c r="K78" s="83"/>
    </row>
    <row r="79" spans="2:17">
      <c r="B79" s="112" t="s">
        <v>225</v>
      </c>
      <c r="C79" s="110" t="s">
        <v>108</v>
      </c>
      <c r="D79" s="110" t="s">
        <v>109</v>
      </c>
      <c r="E79" s="128">
        <v>0</v>
      </c>
      <c r="F79" s="129">
        <f t="shared" si="17"/>
        <v>0</v>
      </c>
      <c r="G79" s="129">
        <f t="shared" si="17"/>
        <v>0</v>
      </c>
      <c r="H79" s="129">
        <f t="shared" ref="H79:I79" si="31">G79</f>
        <v>0</v>
      </c>
      <c r="I79" s="130">
        <f t="shared" si="31"/>
        <v>0</v>
      </c>
      <c r="K79" s="83"/>
    </row>
    <row r="80" spans="2:17">
      <c r="B80" s="112" t="s">
        <v>225</v>
      </c>
      <c r="C80" s="110" t="s">
        <v>226</v>
      </c>
      <c r="D80" s="110" t="s">
        <v>113</v>
      </c>
      <c r="E80" s="128">
        <v>0</v>
      </c>
      <c r="F80" s="129">
        <f t="shared" si="17"/>
        <v>0</v>
      </c>
      <c r="G80" s="129">
        <f t="shared" si="17"/>
        <v>0</v>
      </c>
      <c r="H80" s="129">
        <f t="shared" ref="H80:I80" si="32">G80</f>
        <v>0</v>
      </c>
      <c r="I80" s="130">
        <f t="shared" si="32"/>
        <v>0</v>
      </c>
      <c r="K80" s="83"/>
    </row>
    <row r="81" spans="2:13">
      <c r="B81" s="112" t="s">
        <v>227</v>
      </c>
      <c r="C81" s="110" t="s">
        <v>107</v>
      </c>
      <c r="D81" s="110" t="s">
        <v>116</v>
      </c>
      <c r="E81" s="128">
        <v>0</v>
      </c>
      <c r="F81" s="129">
        <f t="shared" si="17"/>
        <v>0</v>
      </c>
      <c r="G81" s="129">
        <f t="shared" si="17"/>
        <v>0</v>
      </c>
      <c r="H81" s="129">
        <f t="shared" ref="H81:I81" si="33">G81</f>
        <v>0</v>
      </c>
      <c r="I81" s="130">
        <f t="shared" si="33"/>
        <v>0</v>
      </c>
      <c r="K81" s="83"/>
    </row>
    <row r="82" spans="2:13">
      <c r="B82" s="112" t="s">
        <v>227</v>
      </c>
      <c r="C82" s="110" t="s">
        <v>108</v>
      </c>
      <c r="D82" s="110" t="s">
        <v>109</v>
      </c>
      <c r="E82" s="128">
        <v>0</v>
      </c>
      <c r="F82" s="129">
        <f t="shared" si="17"/>
        <v>0</v>
      </c>
      <c r="G82" s="129">
        <f t="shared" si="17"/>
        <v>0</v>
      </c>
      <c r="H82" s="129">
        <f t="shared" ref="H82:I82" si="34">G82</f>
        <v>0</v>
      </c>
      <c r="I82" s="130">
        <f t="shared" si="34"/>
        <v>0</v>
      </c>
    </row>
    <row r="83" spans="2:13">
      <c r="B83" s="112"/>
      <c r="C83" s="110"/>
      <c r="D83" s="110"/>
      <c r="E83" s="128"/>
      <c r="F83" s="129"/>
      <c r="G83" s="129"/>
      <c r="H83" s="129"/>
      <c r="I83" s="130"/>
    </row>
    <row r="84" spans="2:13">
      <c r="B84" s="114" t="s">
        <v>228</v>
      </c>
      <c r="C84" s="110"/>
      <c r="D84" s="110"/>
      <c r="E84" s="128"/>
      <c r="F84" s="129"/>
      <c r="G84" s="129"/>
      <c r="H84" s="129"/>
      <c r="I84" s="130"/>
    </row>
    <row r="85" spans="2:13">
      <c r="B85" s="112" t="s">
        <v>229</v>
      </c>
      <c r="C85" s="110" t="s">
        <v>230</v>
      </c>
      <c r="D85" s="110" t="s">
        <v>116</v>
      </c>
      <c r="E85" s="128">
        <v>0</v>
      </c>
      <c r="F85" s="129">
        <f t="shared" si="17"/>
        <v>0</v>
      </c>
      <c r="G85" s="129">
        <f t="shared" si="17"/>
        <v>0</v>
      </c>
      <c r="H85" s="129">
        <f t="shared" ref="H85:I85" si="35">G85</f>
        <v>0</v>
      </c>
      <c r="I85" s="130">
        <f t="shared" si="35"/>
        <v>0</v>
      </c>
      <c r="K85" s="83"/>
      <c r="L85" s="136"/>
      <c r="M85" s="131"/>
    </row>
    <row r="86" spans="2:13">
      <c r="B86" s="112" t="s">
        <v>231</v>
      </c>
      <c r="C86" s="110" t="s">
        <v>232</v>
      </c>
      <c r="D86" s="110" t="s">
        <v>109</v>
      </c>
      <c r="E86" s="128">
        <v>0</v>
      </c>
      <c r="F86" s="129">
        <f t="shared" si="17"/>
        <v>0</v>
      </c>
      <c r="G86" s="129">
        <f t="shared" si="17"/>
        <v>0</v>
      </c>
      <c r="H86" s="129">
        <f t="shared" ref="H86:I86" si="36">G86</f>
        <v>0</v>
      </c>
      <c r="I86" s="130">
        <f t="shared" si="36"/>
        <v>0</v>
      </c>
      <c r="K86" s="83"/>
      <c r="L86" s="136"/>
      <c r="M86" s="131"/>
    </row>
    <row r="87" spans="2:13">
      <c r="B87" s="112" t="s">
        <v>233</v>
      </c>
      <c r="C87" s="110" t="s">
        <v>234</v>
      </c>
      <c r="D87" s="110" t="s">
        <v>113</v>
      </c>
      <c r="E87" s="128">
        <v>0</v>
      </c>
      <c r="F87" s="129">
        <f t="shared" si="17"/>
        <v>0</v>
      </c>
      <c r="G87" s="129">
        <f t="shared" si="17"/>
        <v>0</v>
      </c>
      <c r="H87" s="129">
        <f t="shared" ref="H87:I87" si="37">G87</f>
        <v>0</v>
      </c>
      <c r="I87" s="130">
        <f t="shared" si="37"/>
        <v>0</v>
      </c>
      <c r="K87" s="83"/>
      <c r="L87" s="136"/>
      <c r="M87" s="131"/>
    </row>
    <row r="88" spans="2:13">
      <c r="B88" s="112"/>
      <c r="C88" s="110"/>
      <c r="D88" s="110"/>
      <c r="E88" s="128"/>
      <c r="F88" s="129"/>
      <c r="G88" s="129"/>
      <c r="H88" s="129"/>
      <c r="I88" s="130"/>
      <c r="K88" s="83"/>
      <c r="L88" s="136"/>
      <c r="M88" s="131"/>
    </row>
    <row r="89" spans="2:13">
      <c r="B89" s="114" t="s">
        <v>235</v>
      </c>
      <c r="C89" s="110"/>
      <c r="D89" s="110"/>
      <c r="E89" s="128"/>
      <c r="F89" s="129"/>
      <c r="G89" s="129"/>
      <c r="H89" s="129"/>
      <c r="I89" s="130"/>
      <c r="K89" s="83"/>
      <c r="L89" s="136"/>
      <c r="M89" s="131"/>
    </row>
    <row r="90" spans="2:13">
      <c r="B90" s="112" t="s">
        <v>236</v>
      </c>
      <c r="C90" s="110" t="s">
        <v>107</v>
      </c>
      <c r="D90" s="110" t="s">
        <v>116</v>
      </c>
      <c r="E90" s="128">
        <v>0</v>
      </c>
      <c r="F90" s="129">
        <f t="shared" si="17"/>
        <v>0</v>
      </c>
      <c r="G90" s="129">
        <f t="shared" si="17"/>
        <v>0</v>
      </c>
      <c r="H90" s="129">
        <f t="shared" ref="H90:I90" si="38">G90</f>
        <v>0</v>
      </c>
      <c r="I90" s="130">
        <f t="shared" si="38"/>
        <v>0</v>
      </c>
      <c r="K90" s="83"/>
      <c r="L90" s="136"/>
      <c r="M90" s="131"/>
    </row>
    <row r="91" spans="2:13">
      <c r="B91" s="112" t="s">
        <v>236</v>
      </c>
      <c r="C91" s="110" t="s">
        <v>237</v>
      </c>
      <c r="D91" s="110" t="s">
        <v>113</v>
      </c>
      <c r="E91" s="128">
        <v>0</v>
      </c>
      <c r="F91" s="129">
        <f t="shared" si="17"/>
        <v>0</v>
      </c>
      <c r="G91" s="129">
        <f t="shared" si="17"/>
        <v>0</v>
      </c>
      <c r="H91" s="129">
        <f t="shared" ref="H91:I91" si="39">G91</f>
        <v>0</v>
      </c>
      <c r="I91" s="130">
        <f t="shared" si="39"/>
        <v>0</v>
      </c>
      <c r="K91" s="83"/>
      <c r="L91" s="136"/>
      <c r="M91" s="131"/>
    </row>
    <row r="92" spans="2:13">
      <c r="B92" s="112"/>
      <c r="C92" s="110"/>
      <c r="D92" s="110"/>
      <c r="E92" s="128"/>
      <c r="F92" s="129"/>
      <c r="G92" s="129"/>
      <c r="H92" s="129"/>
      <c r="I92" s="130"/>
      <c r="K92" s="83"/>
      <c r="L92" s="136"/>
      <c r="M92" s="131"/>
    </row>
    <row r="93" spans="2:13">
      <c r="B93" s="115" t="s">
        <v>35</v>
      </c>
      <c r="C93" s="116"/>
      <c r="D93" s="116"/>
      <c r="E93" s="137">
        <f>SUM(E64:E91)</f>
        <v>1</v>
      </c>
      <c r="F93" s="138">
        <f t="shared" ref="F93:I93" si="40">SUM(F64:F91)</f>
        <v>1</v>
      </c>
      <c r="G93" s="138">
        <f t="shared" si="40"/>
        <v>1</v>
      </c>
      <c r="H93" s="138">
        <f t="shared" si="40"/>
        <v>1</v>
      </c>
      <c r="I93" s="139">
        <f t="shared" si="40"/>
        <v>1</v>
      </c>
      <c r="K93" s="83"/>
      <c r="L93" s="136"/>
      <c r="M93" s="131"/>
    </row>
    <row r="94" spans="2:13">
      <c r="H94" s="56"/>
      <c r="K94" s="83"/>
      <c r="L94" s="136"/>
      <c r="M94" s="131"/>
    </row>
    <row r="95" spans="2:13">
      <c r="H95" s="56"/>
      <c r="K95" s="83"/>
      <c r="L95" s="136"/>
      <c r="M95" s="131"/>
    </row>
    <row r="96" spans="2:13">
      <c r="B96" s="58" t="s">
        <v>122</v>
      </c>
      <c r="E96" s="84" t="s">
        <v>30</v>
      </c>
      <c r="F96" s="84" t="s">
        <v>31</v>
      </c>
      <c r="G96" s="84" t="s">
        <v>32</v>
      </c>
      <c r="H96" s="84" t="s">
        <v>33</v>
      </c>
      <c r="I96" s="84" t="s">
        <v>34</v>
      </c>
      <c r="K96" s="140"/>
      <c r="L96" s="141"/>
      <c r="M96" s="142"/>
    </row>
    <row r="97" spans="2:13">
      <c r="B97" s="97" t="s">
        <v>213</v>
      </c>
      <c r="C97" s="98"/>
      <c r="D97" s="98"/>
      <c r="E97" s="143"/>
      <c r="F97" s="100"/>
      <c r="G97" s="100"/>
      <c r="H97" s="100"/>
      <c r="I97" s="102"/>
      <c r="K97" s="140"/>
      <c r="L97" s="141"/>
      <c r="M97" s="142"/>
    </row>
    <row r="98" spans="2:13">
      <c r="B98" s="104" t="s">
        <v>214</v>
      </c>
      <c r="C98" s="105" t="s">
        <v>214</v>
      </c>
      <c r="D98" s="105" t="s">
        <v>215</v>
      </c>
      <c r="E98" s="144">
        <f>$M32*E65</f>
        <v>0</v>
      </c>
      <c r="F98" s="107">
        <f t="shared" ref="E98:I113" si="41">$M32*F65</f>
        <v>0</v>
      </c>
      <c r="G98" s="107">
        <f t="shared" si="41"/>
        <v>0</v>
      </c>
      <c r="H98" s="107">
        <f t="shared" si="41"/>
        <v>0</v>
      </c>
      <c r="I98" s="108">
        <f t="shared" si="41"/>
        <v>0</v>
      </c>
      <c r="K98" s="140"/>
      <c r="L98" s="141"/>
      <c r="M98" s="142"/>
    </row>
    <row r="99" spans="2:13">
      <c r="B99" s="104" t="s">
        <v>351</v>
      </c>
      <c r="C99" s="110" t="s">
        <v>352</v>
      </c>
      <c r="D99" s="110" t="s">
        <v>280</v>
      </c>
      <c r="E99" s="144">
        <f>$M33*E66</f>
        <v>9864000</v>
      </c>
      <c r="F99" s="107">
        <f t="shared" si="41"/>
        <v>9864000</v>
      </c>
      <c r="G99" s="107">
        <f t="shared" si="41"/>
        <v>9864000</v>
      </c>
      <c r="H99" s="107">
        <f t="shared" si="41"/>
        <v>9864000</v>
      </c>
      <c r="I99" s="108">
        <f t="shared" si="41"/>
        <v>9864000</v>
      </c>
      <c r="K99" s="140"/>
      <c r="L99" s="141"/>
      <c r="M99" s="142"/>
    </row>
    <row r="100" spans="2:13">
      <c r="B100" s="104" t="s">
        <v>216</v>
      </c>
      <c r="C100" s="110" t="s">
        <v>217</v>
      </c>
      <c r="D100" s="110" t="s">
        <v>113</v>
      </c>
      <c r="E100" s="144">
        <f t="shared" si="41"/>
        <v>0</v>
      </c>
      <c r="F100" s="107">
        <f t="shared" si="41"/>
        <v>0</v>
      </c>
      <c r="G100" s="107">
        <f t="shared" si="41"/>
        <v>0</v>
      </c>
      <c r="H100" s="107">
        <f t="shared" si="41"/>
        <v>0</v>
      </c>
      <c r="I100" s="108">
        <f t="shared" si="41"/>
        <v>0</v>
      </c>
      <c r="K100" s="140"/>
      <c r="L100" s="141"/>
      <c r="M100" s="142"/>
    </row>
    <row r="101" spans="2:13">
      <c r="B101" s="104" t="s">
        <v>218</v>
      </c>
      <c r="C101" s="110" t="s">
        <v>219</v>
      </c>
      <c r="D101" s="110" t="s">
        <v>215</v>
      </c>
      <c r="E101" s="144">
        <f t="shared" si="41"/>
        <v>0</v>
      </c>
      <c r="F101" s="107">
        <f t="shared" si="41"/>
        <v>0</v>
      </c>
      <c r="G101" s="107">
        <f t="shared" si="41"/>
        <v>0</v>
      </c>
      <c r="H101" s="107">
        <f t="shared" si="41"/>
        <v>0</v>
      </c>
      <c r="I101" s="108">
        <f t="shared" si="41"/>
        <v>0</v>
      </c>
      <c r="K101" s="140"/>
      <c r="L101" s="141"/>
      <c r="M101" s="142"/>
    </row>
    <row r="102" spans="2:13">
      <c r="B102" s="104" t="s">
        <v>220</v>
      </c>
      <c r="C102" s="110" t="s">
        <v>107</v>
      </c>
      <c r="D102" s="110" t="s">
        <v>116</v>
      </c>
      <c r="E102" s="144">
        <f t="shared" si="41"/>
        <v>0</v>
      </c>
      <c r="F102" s="107">
        <f t="shared" si="41"/>
        <v>0</v>
      </c>
      <c r="G102" s="107">
        <f t="shared" si="41"/>
        <v>0</v>
      </c>
      <c r="H102" s="107">
        <f t="shared" si="41"/>
        <v>0</v>
      </c>
      <c r="I102" s="108">
        <f t="shared" si="41"/>
        <v>0</v>
      </c>
      <c r="K102" s="140"/>
      <c r="L102" s="141"/>
      <c r="M102" s="142"/>
    </row>
    <row r="103" spans="2:13">
      <c r="B103" s="112" t="s">
        <v>220</v>
      </c>
      <c r="C103" s="105" t="s">
        <v>108</v>
      </c>
      <c r="D103" s="110" t="s">
        <v>109</v>
      </c>
      <c r="E103" s="144">
        <f t="shared" si="41"/>
        <v>0</v>
      </c>
      <c r="F103" s="107">
        <f t="shared" si="41"/>
        <v>0</v>
      </c>
      <c r="G103" s="107">
        <f t="shared" si="41"/>
        <v>0</v>
      </c>
      <c r="H103" s="107">
        <f t="shared" si="41"/>
        <v>0</v>
      </c>
      <c r="I103" s="108">
        <f t="shared" si="41"/>
        <v>0</v>
      </c>
      <c r="K103" s="140"/>
      <c r="L103" s="141"/>
      <c r="M103" s="142"/>
    </row>
    <row r="104" spans="2:13">
      <c r="B104" s="112" t="s">
        <v>220</v>
      </c>
      <c r="C104" s="110" t="s">
        <v>110</v>
      </c>
      <c r="D104" s="110" t="s">
        <v>111</v>
      </c>
      <c r="E104" s="144">
        <f t="shared" si="41"/>
        <v>0</v>
      </c>
      <c r="F104" s="107">
        <f t="shared" si="41"/>
        <v>0</v>
      </c>
      <c r="G104" s="107">
        <f t="shared" si="41"/>
        <v>0</v>
      </c>
      <c r="H104" s="107">
        <f t="shared" si="41"/>
        <v>0</v>
      </c>
      <c r="I104" s="108">
        <f t="shared" si="41"/>
        <v>0</v>
      </c>
      <c r="K104" s="140"/>
      <c r="L104" s="141"/>
      <c r="M104" s="142"/>
    </row>
    <row r="105" spans="2:13">
      <c r="B105" s="112" t="s">
        <v>220</v>
      </c>
      <c r="C105" s="110" t="s">
        <v>221</v>
      </c>
      <c r="D105" s="110" t="s">
        <v>113</v>
      </c>
      <c r="E105" s="144">
        <f t="shared" si="41"/>
        <v>0</v>
      </c>
      <c r="F105" s="107">
        <f t="shared" si="41"/>
        <v>0</v>
      </c>
      <c r="G105" s="107">
        <f t="shared" si="41"/>
        <v>0</v>
      </c>
      <c r="H105" s="107">
        <f t="shared" si="41"/>
        <v>0</v>
      </c>
      <c r="I105" s="108">
        <f t="shared" si="41"/>
        <v>0</v>
      </c>
      <c r="K105" s="140"/>
      <c r="L105" s="141"/>
      <c r="M105" s="142"/>
    </row>
    <row r="106" spans="2:13">
      <c r="B106" s="112" t="s">
        <v>222</v>
      </c>
      <c r="C106" s="110" t="s">
        <v>107</v>
      </c>
      <c r="D106" s="110" t="s">
        <v>116</v>
      </c>
      <c r="E106" s="144">
        <f t="shared" si="41"/>
        <v>0</v>
      </c>
      <c r="F106" s="107">
        <f t="shared" si="41"/>
        <v>0</v>
      </c>
      <c r="G106" s="107">
        <f t="shared" si="41"/>
        <v>0</v>
      </c>
      <c r="H106" s="107">
        <f t="shared" si="41"/>
        <v>0</v>
      </c>
      <c r="I106" s="108">
        <f t="shared" si="41"/>
        <v>0</v>
      </c>
      <c r="K106" s="140"/>
      <c r="L106" s="141"/>
      <c r="M106" s="142"/>
    </row>
    <row r="107" spans="2:13">
      <c r="B107" s="112" t="s">
        <v>222</v>
      </c>
      <c r="C107" s="110" t="s">
        <v>108</v>
      </c>
      <c r="D107" s="110" t="s">
        <v>109</v>
      </c>
      <c r="E107" s="144">
        <f t="shared" si="41"/>
        <v>0</v>
      </c>
      <c r="F107" s="107">
        <f t="shared" si="41"/>
        <v>0</v>
      </c>
      <c r="G107" s="107">
        <f t="shared" si="41"/>
        <v>0</v>
      </c>
      <c r="H107" s="107">
        <f t="shared" si="41"/>
        <v>0</v>
      </c>
      <c r="I107" s="108">
        <f t="shared" si="41"/>
        <v>0</v>
      </c>
      <c r="K107" s="140"/>
      <c r="L107" s="141"/>
      <c r="M107" s="142"/>
    </row>
    <row r="108" spans="2:13">
      <c r="B108" s="112" t="s">
        <v>223</v>
      </c>
      <c r="C108" s="105" t="s">
        <v>107</v>
      </c>
      <c r="D108" s="110" t="s">
        <v>116</v>
      </c>
      <c r="E108" s="144">
        <f t="shared" si="41"/>
        <v>0</v>
      </c>
      <c r="F108" s="107">
        <f t="shared" si="41"/>
        <v>0</v>
      </c>
      <c r="G108" s="107">
        <f t="shared" si="41"/>
        <v>0</v>
      </c>
      <c r="H108" s="107">
        <f t="shared" si="41"/>
        <v>0</v>
      </c>
      <c r="I108" s="108">
        <f t="shared" si="41"/>
        <v>0</v>
      </c>
      <c r="K108" s="140"/>
      <c r="L108" s="141"/>
      <c r="M108" s="142"/>
    </row>
    <row r="109" spans="2:13">
      <c r="B109" s="112" t="s">
        <v>223</v>
      </c>
      <c r="C109" s="110" t="s">
        <v>108</v>
      </c>
      <c r="D109" s="110" t="s">
        <v>109</v>
      </c>
      <c r="E109" s="144">
        <f t="shared" si="41"/>
        <v>0</v>
      </c>
      <c r="F109" s="107">
        <f t="shared" si="41"/>
        <v>0</v>
      </c>
      <c r="G109" s="107">
        <f t="shared" si="41"/>
        <v>0</v>
      </c>
      <c r="H109" s="107">
        <f t="shared" si="41"/>
        <v>0</v>
      </c>
      <c r="I109" s="108">
        <f t="shared" si="41"/>
        <v>0</v>
      </c>
      <c r="K109" s="140"/>
      <c r="L109" s="141"/>
      <c r="M109" s="142"/>
    </row>
    <row r="110" spans="2:13">
      <c r="B110" s="112" t="s">
        <v>223</v>
      </c>
      <c r="C110" s="110" t="s">
        <v>224</v>
      </c>
      <c r="D110" s="110" t="s">
        <v>113</v>
      </c>
      <c r="E110" s="144">
        <f t="shared" si="41"/>
        <v>0</v>
      </c>
      <c r="F110" s="107">
        <f t="shared" si="41"/>
        <v>0</v>
      </c>
      <c r="G110" s="107">
        <f t="shared" si="41"/>
        <v>0</v>
      </c>
      <c r="H110" s="107">
        <f t="shared" si="41"/>
        <v>0</v>
      </c>
      <c r="I110" s="108">
        <f t="shared" si="41"/>
        <v>0</v>
      </c>
      <c r="K110" s="140"/>
      <c r="L110" s="141"/>
      <c r="M110" s="142"/>
    </row>
    <row r="111" spans="2:13">
      <c r="B111" s="112" t="s">
        <v>225</v>
      </c>
      <c r="C111" s="110" t="s">
        <v>107</v>
      </c>
      <c r="D111" s="110" t="s">
        <v>116</v>
      </c>
      <c r="E111" s="144">
        <f t="shared" si="41"/>
        <v>0</v>
      </c>
      <c r="F111" s="107">
        <f t="shared" si="41"/>
        <v>0</v>
      </c>
      <c r="G111" s="107">
        <f t="shared" si="41"/>
        <v>0</v>
      </c>
      <c r="H111" s="107">
        <f t="shared" si="41"/>
        <v>0</v>
      </c>
      <c r="I111" s="108">
        <f t="shared" si="41"/>
        <v>0</v>
      </c>
      <c r="K111" s="140"/>
      <c r="L111" s="141"/>
      <c r="M111" s="142"/>
    </row>
    <row r="112" spans="2:13">
      <c r="B112" s="112" t="s">
        <v>225</v>
      </c>
      <c r="C112" s="110" t="s">
        <v>108</v>
      </c>
      <c r="D112" s="110" t="s">
        <v>109</v>
      </c>
      <c r="E112" s="144">
        <f t="shared" si="41"/>
        <v>0</v>
      </c>
      <c r="F112" s="107">
        <f t="shared" si="41"/>
        <v>0</v>
      </c>
      <c r="G112" s="107">
        <f t="shared" si="41"/>
        <v>0</v>
      </c>
      <c r="H112" s="107">
        <f t="shared" si="41"/>
        <v>0</v>
      </c>
      <c r="I112" s="108">
        <f t="shared" si="41"/>
        <v>0</v>
      </c>
      <c r="K112" s="140"/>
      <c r="L112" s="141"/>
      <c r="M112" s="142"/>
    </row>
    <row r="113" spans="2:13">
      <c r="B113" s="112" t="s">
        <v>225</v>
      </c>
      <c r="C113" s="110" t="s">
        <v>226</v>
      </c>
      <c r="D113" s="110" t="s">
        <v>113</v>
      </c>
      <c r="E113" s="144">
        <f t="shared" si="41"/>
        <v>0</v>
      </c>
      <c r="F113" s="107">
        <f t="shared" si="41"/>
        <v>0</v>
      </c>
      <c r="G113" s="107">
        <f t="shared" si="41"/>
        <v>0</v>
      </c>
      <c r="H113" s="107">
        <f t="shared" si="41"/>
        <v>0</v>
      </c>
      <c r="I113" s="108">
        <f t="shared" si="41"/>
        <v>0</v>
      </c>
      <c r="K113" s="140"/>
      <c r="L113" s="141"/>
      <c r="M113" s="142"/>
    </row>
    <row r="114" spans="2:13">
      <c r="B114" s="112" t="s">
        <v>227</v>
      </c>
      <c r="C114" s="110" t="s">
        <v>107</v>
      </c>
      <c r="D114" s="110" t="s">
        <v>116</v>
      </c>
      <c r="E114" s="144">
        <f t="shared" ref="E114:I115" si="42">$M48*E81</f>
        <v>0</v>
      </c>
      <c r="F114" s="107">
        <f t="shared" si="42"/>
        <v>0</v>
      </c>
      <c r="G114" s="107">
        <f t="shared" si="42"/>
        <v>0</v>
      </c>
      <c r="H114" s="107">
        <f t="shared" si="42"/>
        <v>0</v>
      </c>
      <c r="I114" s="108">
        <f t="shared" si="42"/>
        <v>0</v>
      </c>
      <c r="K114" s="140"/>
      <c r="L114" s="141"/>
      <c r="M114" s="142"/>
    </row>
    <row r="115" spans="2:13">
      <c r="B115" s="112" t="s">
        <v>227</v>
      </c>
      <c r="C115" s="110" t="s">
        <v>108</v>
      </c>
      <c r="D115" s="110" t="s">
        <v>109</v>
      </c>
      <c r="E115" s="144">
        <f t="shared" si="42"/>
        <v>0</v>
      </c>
      <c r="F115" s="107">
        <f t="shared" si="42"/>
        <v>0</v>
      </c>
      <c r="G115" s="107">
        <f t="shared" si="42"/>
        <v>0</v>
      </c>
      <c r="H115" s="107">
        <f t="shared" si="42"/>
        <v>0</v>
      </c>
      <c r="I115" s="108">
        <f t="shared" si="42"/>
        <v>0</v>
      </c>
    </row>
    <row r="116" spans="2:13">
      <c r="B116" s="112"/>
      <c r="C116" s="110"/>
      <c r="D116" s="110"/>
      <c r="E116" s="144"/>
      <c r="F116" s="107"/>
      <c r="G116" s="107"/>
      <c r="H116" s="107"/>
      <c r="I116" s="108"/>
    </row>
    <row r="117" spans="2:13">
      <c r="B117" s="114" t="s">
        <v>228</v>
      </c>
      <c r="C117" s="110"/>
      <c r="D117" s="110"/>
      <c r="E117" s="144"/>
      <c r="F117" s="107"/>
      <c r="G117" s="107"/>
      <c r="H117" s="107"/>
      <c r="I117" s="108"/>
    </row>
    <row r="118" spans="2:13">
      <c r="B118" s="112" t="s">
        <v>229</v>
      </c>
      <c r="C118" s="110" t="s">
        <v>230</v>
      </c>
      <c r="D118" s="110" t="s">
        <v>116</v>
      </c>
      <c r="E118" s="144">
        <f t="shared" ref="E118:I120" si="43">$M52*E85</f>
        <v>0</v>
      </c>
      <c r="F118" s="107">
        <f t="shared" si="43"/>
        <v>0</v>
      </c>
      <c r="G118" s="107">
        <f t="shared" si="43"/>
        <v>0</v>
      </c>
      <c r="H118" s="107">
        <f t="shared" si="43"/>
        <v>0</v>
      </c>
      <c r="I118" s="108">
        <f t="shared" si="43"/>
        <v>0</v>
      </c>
    </row>
    <row r="119" spans="2:13">
      <c r="B119" s="112" t="s">
        <v>231</v>
      </c>
      <c r="C119" s="110" t="s">
        <v>232</v>
      </c>
      <c r="D119" s="110" t="s">
        <v>109</v>
      </c>
      <c r="E119" s="144">
        <f t="shared" si="43"/>
        <v>0</v>
      </c>
      <c r="F119" s="107">
        <f t="shared" si="43"/>
        <v>0</v>
      </c>
      <c r="G119" s="107">
        <f t="shared" si="43"/>
        <v>0</v>
      </c>
      <c r="H119" s="107">
        <f t="shared" si="43"/>
        <v>0</v>
      </c>
      <c r="I119" s="108">
        <f t="shared" si="43"/>
        <v>0</v>
      </c>
    </row>
    <row r="120" spans="2:13">
      <c r="B120" s="112" t="s">
        <v>233</v>
      </c>
      <c r="C120" s="110" t="s">
        <v>234</v>
      </c>
      <c r="D120" s="110" t="s">
        <v>113</v>
      </c>
      <c r="E120" s="144">
        <f t="shared" si="43"/>
        <v>0</v>
      </c>
      <c r="F120" s="107">
        <f t="shared" si="43"/>
        <v>0</v>
      </c>
      <c r="G120" s="107">
        <f t="shared" si="43"/>
        <v>0</v>
      </c>
      <c r="H120" s="107">
        <f t="shared" si="43"/>
        <v>0</v>
      </c>
      <c r="I120" s="108">
        <f t="shared" si="43"/>
        <v>0</v>
      </c>
    </row>
    <row r="121" spans="2:13">
      <c r="B121" s="112"/>
      <c r="C121" s="110"/>
      <c r="D121" s="110"/>
      <c r="E121" s="144"/>
      <c r="F121" s="107"/>
      <c r="G121" s="107"/>
      <c r="H121" s="107"/>
      <c r="I121" s="108"/>
    </row>
    <row r="122" spans="2:13">
      <c r="B122" s="114" t="s">
        <v>235</v>
      </c>
      <c r="C122" s="110"/>
      <c r="D122" s="110"/>
      <c r="E122" s="144"/>
      <c r="F122" s="107"/>
      <c r="G122" s="107"/>
      <c r="H122" s="107"/>
      <c r="I122" s="108"/>
    </row>
    <row r="123" spans="2:13">
      <c r="B123" s="112" t="s">
        <v>236</v>
      </c>
      <c r="C123" s="110" t="s">
        <v>107</v>
      </c>
      <c r="D123" s="110" t="s">
        <v>116</v>
      </c>
      <c r="E123" s="144">
        <f t="shared" ref="E123:I124" si="44">$M57*E90</f>
        <v>0</v>
      </c>
      <c r="F123" s="107">
        <f t="shared" si="44"/>
        <v>0</v>
      </c>
      <c r="G123" s="107">
        <f t="shared" si="44"/>
        <v>0</v>
      </c>
      <c r="H123" s="107">
        <f t="shared" si="44"/>
        <v>0</v>
      </c>
      <c r="I123" s="108">
        <f t="shared" si="44"/>
        <v>0</v>
      </c>
    </row>
    <row r="124" spans="2:13">
      <c r="B124" s="112" t="s">
        <v>236</v>
      </c>
      <c r="C124" s="110" t="s">
        <v>237</v>
      </c>
      <c r="D124" s="110" t="s">
        <v>113</v>
      </c>
      <c r="E124" s="144">
        <f t="shared" si="44"/>
        <v>0</v>
      </c>
      <c r="F124" s="107">
        <f t="shared" si="44"/>
        <v>0</v>
      </c>
      <c r="G124" s="107">
        <f t="shared" si="44"/>
        <v>0</v>
      </c>
      <c r="H124" s="107">
        <f t="shared" si="44"/>
        <v>0</v>
      </c>
      <c r="I124" s="108">
        <f t="shared" si="44"/>
        <v>0</v>
      </c>
    </row>
    <row r="125" spans="2:13">
      <c r="B125" s="112"/>
      <c r="C125" s="110"/>
      <c r="D125" s="110"/>
      <c r="E125" s="66"/>
      <c r="G125" s="57"/>
      <c r="H125" s="56"/>
      <c r="I125" s="71"/>
    </row>
    <row r="126" spans="2:13">
      <c r="B126" s="115" t="s">
        <v>35</v>
      </c>
      <c r="C126" s="116"/>
      <c r="D126" s="116"/>
      <c r="E126" s="137">
        <f>SUM(E97:E124)</f>
        <v>9864000</v>
      </c>
      <c r="F126" s="138">
        <f t="shared" ref="F126:I126" si="45">SUM(F97:F124)</f>
        <v>9864000</v>
      </c>
      <c r="G126" s="138">
        <f t="shared" si="45"/>
        <v>9864000</v>
      </c>
      <c r="H126" s="138">
        <f t="shared" si="45"/>
        <v>9864000</v>
      </c>
      <c r="I126" s="139">
        <f t="shared" si="45"/>
        <v>9864000</v>
      </c>
      <c r="K126" s="131"/>
    </row>
    <row r="129" spans="2:21">
      <c r="B129" s="58" t="s">
        <v>375</v>
      </c>
    </row>
    <row r="130" spans="2:21">
      <c r="B130" s="145" t="s">
        <v>238</v>
      </c>
      <c r="C130" s="146" t="s">
        <v>376</v>
      </c>
      <c r="D130" s="147"/>
      <c r="E130" s="148">
        <f>C21*H130*J130</f>
        <v>15495156.961241884</v>
      </c>
      <c r="F130" s="149">
        <f t="shared" ref="F130:F135" si="46">E130/C$21</f>
        <v>1.2500000000000001E-2</v>
      </c>
      <c r="G130" s="150" t="s">
        <v>377</v>
      </c>
      <c r="H130" s="151">
        <v>0.5</v>
      </c>
      <c r="I130" s="152" t="s">
        <v>378</v>
      </c>
      <c r="J130" s="153">
        <v>2.5000000000000001E-2</v>
      </c>
      <c r="K130" s="152"/>
      <c r="L130" s="154"/>
    </row>
    <row r="131" spans="2:21">
      <c r="B131" s="155"/>
      <c r="C131" s="156" t="s">
        <v>379</v>
      </c>
      <c r="D131" s="157"/>
      <c r="E131" s="158">
        <f>L131*H131</f>
        <v>1242000</v>
      </c>
      <c r="F131" s="159">
        <f t="shared" si="46"/>
        <v>1.0019259591130805E-3</v>
      </c>
      <c r="G131" s="160" t="s">
        <v>380</v>
      </c>
      <c r="H131" s="161">
        <v>6000</v>
      </c>
      <c r="I131" s="162"/>
      <c r="J131" s="163"/>
      <c r="K131" s="162" t="s">
        <v>239</v>
      </c>
      <c r="L131" s="164">
        <f>Proforma!D11</f>
        <v>207</v>
      </c>
    </row>
    <row r="132" spans="2:21">
      <c r="B132" s="155"/>
      <c r="C132" s="156" t="s">
        <v>381</v>
      </c>
      <c r="D132" s="157"/>
      <c r="E132" s="158">
        <f>C21*H132</f>
        <v>12396125.568993507</v>
      </c>
      <c r="F132" s="159">
        <f t="shared" si="46"/>
        <v>0.01</v>
      </c>
      <c r="G132" s="160" t="s">
        <v>382</v>
      </c>
      <c r="H132" s="165">
        <v>0.01</v>
      </c>
      <c r="I132" s="162"/>
      <c r="J132" s="163"/>
      <c r="K132" s="162"/>
      <c r="L132" s="166"/>
    </row>
    <row r="133" spans="2:21">
      <c r="B133" s="155"/>
      <c r="C133" s="156" t="s">
        <v>383</v>
      </c>
      <c r="D133" s="157"/>
      <c r="E133" s="167">
        <v>7500000</v>
      </c>
      <c r="F133" s="159">
        <f t="shared" si="46"/>
        <v>6.0502775308760902E-3</v>
      </c>
      <c r="G133" s="160"/>
      <c r="H133" s="168"/>
      <c r="I133" s="162"/>
      <c r="J133" s="163"/>
      <c r="K133" s="162"/>
      <c r="L133" s="166"/>
    </row>
    <row r="134" spans="2:21">
      <c r="B134" s="155"/>
      <c r="C134" s="156" t="s">
        <v>384</v>
      </c>
      <c r="D134" s="157"/>
      <c r="E134" s="169">
        <f>+H134*12</f>
        <v>6000000</v>
      </c>
      <c r="F134" s="170">
        <f t="shared" si="46"/>
        <v>4.8402220247008724E-3</v>
      </c>
      <c r="G134" s="160" t="s">
        <v>385</v>
      </c>
      <c r="H134" s="161">
        <v>500000</v>
      </c>
      <c r="I134" s="162"/>
      <c r="J134" s="163"/>
      <c r="K134" s="162"/>
      <c r="L134" s="166"/>
    </row>
    <row r="135" spans="2:21">
      <c r="B135" s="155"/>
      <c r="C135" s="171" t="s">
        <v>16</v>
      </c>
      <c r="D135" s="172"/>
      <c r="E135" s="173">
        <f>SUM(E130:E134)</f>
        <v>42633282.530235395</v>
      </c>
      <c r="F135" s="174">
        <f t="shared" si="46"/>
        <v>3.4392425514690045E-2</v>
      </c>
      <c r="G135" s="175"/>
      <c r="H135" s="176"/>
      <c r="I135" s="162"/>
      <c r="J135" s="177"/>
      <c r="K135" s="178"/>
      <c r="L135" s="179"/>
    </row>
    <row r="136" spans="2:21">
      <c r="B136" s="155"/>
      <c r="C136" s="180"/>
      <c r="D136" s="181"/>
      <c r="E136" s="182"/>
      <c r="F136" s="183"/>
      <c r="G136" s="140"/>
      <c r="H136" s="184"/>
      <c r="I136" s="185"/>
      <c r="J136" s="186"/>
      <c r="K136" s="185"/>
      <c r="L136" s="187"/>
    </row>
    <row r="137" spans="2:21">
      <c r="B137" s="188" t="s">
        <v>240</v>
      </c>
      <c r="C137" s="189" t="s">
        <v>386</v>
      </c>
      <c r="D137" s="190"/>
      <c r="E137" s="148">
        <f>C21*H137</f>
        <v>6198062.7844967535</v>
      </c>
      <c r="F137" s="149">
        <f>E137/C$21</f>
        <v>5.0000000000000001E-3</v>
      </c>
      <c r="G137" s="191" t="s">
        <v>241</v>
      </c>
      <c r="H137" s="192">
        <v>5.0000000000000001E-3</v>
      </c>
      <c r="I137" s="193"/>
      <c r="J137" s="194"/>
      <c r="K137" s="195"/>
      <c r="L137" s="196"/>
      <c r="N137" s="136"/>
    </row>
    <row r="138" spans="2:21">
      <c r="B138" s="197"/>
      <c r="C138" s="198" t="s">
        <v>387</v>
      </c>
      <c r="D138" s="199"/>
      <c r="E138" s="158">
        <f>C21*H138</f>
        <v>12396125.568993507</v>
      </c>
      <c r="F138" s="170">
        <f>E138/C$21</f>
        <v>0.01</v>
      </c>
      <c r="G138" s="160" t="s">
        <v>241</v>
      </c>
      <c r="H138" s="165">
        <v>0.01</v>
      </c>
      <c r="I138" s="200"/>
      <c r="J138" s="201"/>
      <c r="K138" s="178"/>
      <c r="L138" s="202"/>
    </row>
    <row r="139" spans="2:21">
      <c r="B139" s="203"/>
      <c r="C139" s="198" t="s">
        <v>388</v>
      </c>
      <c r="D139" s="199"/>
      <c r="E139" s="158">
        <f>C21*H139</f>
        <v>6198062.7844967535</v>
      </c>
      <c r="F139" s="170">
        <f>E139/C$21</f>
        <v>5.0000000000000001E-3</v>
      </c>
      <c r="G139" s="160" t="s">
        <v>241</v>
      </c>
      <c r="H139" s="165">
        <v>5.0000000000000001E-3</v>
      </c>
      <c r="I139" s="200"/>
      <c r="J139" s="201"/>
      <c r="K139" s="178"/>
      <c r="L139" s="202"/>
    </row>
    <row r="140" spans="2:21">
      <c r="B140" s="203"/>
      <c r="C140" s="198" t="s">
        <v>366</v>
      </c>
      <c r="D140" s="199"/>
      <c r="E140" s="158">
        <f>SUM(H140*12)</f>
        <v>6000000</v>
      </c>
      <c r="F140" s="170"/>
      <c r="G140" s="160" t="s">
        <v>243</v>
      </c>
      <c r="H140" s="204">
        <v>500000</v>
      </c>
      <c r="I140" s="200"/>
      <c r="J140" s="201"/>
      <c r="K140" s="178"/>
      <c r="L140" s="202"/>
    </row>
    <row r="141" spans="2:21">
      <c r="B141" s="203"/>
      <c r="C141" s="205" t="s">
        <v>16</v>
      </c>
      <c r="D141" s="206"/>
      <c r="E141" s="173">
        <f>SUM(E137:E140)</f>
        <v>30792251.137987014</v>
      </c>
      <c r="F141" s="174">
        <f>E141/C$21</f>
        <v>2.4840222024700872E-2</v>
      </c>
      <c r="G141" s="160"/>
      <c r="H141" s="207"/>
      <c r="I141" s="200"/>
      <c r="J141" s="201"/>
      <c r="K141" s="178"/>
      <c r="L141" s="202"/>
    </row>
    <row r="142" spans="2:21">
      <c r="B142" s="208"/>
      <c r="C142" s="209"/>
      <c r="D142" s="210"/>
      <c r="E142" s="211"/>
      <c r="F142" s="212"/>
      <c r="G142" s="213"/>
      <c r="H142" s="214"/>
      <c r="I142" s="215"/>
      <c r="J142" s="216"/>
      <c r="K142" s="215"/>
      <c r="L142" s="217"/>
      <c r="P142" s="218" t="s">
        <v>244</v>
      </c>
      <c r="Q142" s="218" t="s">
        <v>245</v>
      </c>
      <c r="S142" s="219" t="s">
        <v>335</v>
      </c>
      <c r="T142" s="218" t="s">
        <v>246</v>
      </c>
    </row>
    <row r="143" spans="2:21">
      <c r="B143" s="220" t="s">
        <v>247</v>
      </c>
      <c r="C143" s="221" t="s">
        <v>389</v>
      </c>
      <c r="D143" s="222"/>
      <c r="E143" s="148">
        <f>H143*12*L143</f>
        <v>7500000</v>
      </c>
      <c r="F143" s="149">
        <f>E143/C$21</f>
        <v>6.0502775308760902E-3</v>
      </c>
      <c r="G143" s="150" t="s">
        <v>390</v>
      </c>
      <c r="H143" s="161">
        <v>250</v>
      </c>
      <c r="I143" s="223" t="s">
        <v>391</v>
      </c>
      <c r="J143" s="224"/>
      <c r="K143" s="225" t="str">
        <f>O143</f>
        <v>Area</v>
      </c>
      <c r="L143" s="226">
        <f>P143</f>
        <v>2500</v>
      </c>
      <c r="N143" s="83" t="str">
        <f>C143</f>
        <v>施設管理費</v>
      </c>
      <c r="O143" s="227" t="s">
        <v>336</v>
      </c>
      <c r="P143" s="94">
        <v>2500</v>
      </c>
      <c r="Q143" s="228">
        <f>T145</f>
        <v>8906.4000000000015</v>
      </c>
      <c r="R143" s="229"/>
      <c r="S143" s="229" t="s">
        <v>332</v>
      </c>
      <c r="T143" s="230">
        <f>'Room Types'!H19</f>
        <v>5937.6</v>
      </c>
      <c r="U143" s="229"/>
    </row>
    <row r="144" spans="2:21">
      <c r="B144" s="231"/>
      <c r="C144" s="232" t="s">
        <v>392</v>
      </c>
      <c r="D144" s="233"/>
      <c r="E144" s="158">
        <f>P144*12</f>
        <v>7200000</v>
      </c>
      <c r="F144" s="170">
        <f>E144/C$21</f>
        <v>5.8082664296410461E-3</v>
      </c>
      <c r="G144" s="160"/>
      <c r="H144" s="234"/>
      <c r="I144" s="235"/>
      <c r="J144" s="236"/>
      <c r="K144" s="178"/>
      <c r="L144" s="202"/>
      <c r="N144" s="83" t="str">
        <f>C144</f>
        <v>修繕費</v>
      </c>
      <c r="O144" s="56" t="s">
        <v>248</v>
      </c>
      <c r="P144" s="94">
        <v>600000</v>
      </c>
      <c r="Q144" s="229"/>
      <c r="R144" s="229"/>
      <c r="S144" s="229" t="s">
        <v>333</v>
      </c>
      <c r="T144" s="230">
        <f>U144*T143</f>
        <v>2968.8</v>
      </c>
      <c r="U144" s="237">
        <v>0.5</v>
      </c>
    </row>
    <row r="145" spans="2:21">
      <c r="B145" s="231"/>
      <c r="C145" s="232" t="s">
        <v>393</v>
      </c>
      <c r="D145" s="233"/>
      <c r="E145" s="158">
        <f>+H145</f>
        <v>500000</v>
      </c>
      <c r="F145" s="170">
        <f>E145/C$21</f>
        <v>4.0335183539173933E-4</v>
      </c>
      <c r="G145" s="160" t="s">
        <v>394</v>
      </c>
      <c r="H145" s="161">
        <v>500000</v>
      </c>
      <c r="I145" s="238"/>
      <c r="J145" s="239"/>
      <c r="K145" s="240"/>
      <c r="L145" s="241"/>
      <c r="N145" s="83"/>
      <c r="P145" s="94"/>
      <c r="Q145" s="229"/>
      <c r="R145" s="229"/>
      <c r="S145" s="229" t="s">
        <v>334</v>
      </c>
      <c r="T145" s="230">
        <f>T143+T144</f>
        <v>8906.4000000000015</v>
      </c>
      <c r="U145" s="229"/>
    </row>
    <row r="146" spans="2:21">
      <c r="B146" s="231"/>
      <c r="C146" s="232" t="s">
        <v>388</v>
      </c>
      <c r="D146" s="233"/>
      <c r="E146" s="158">
        <f>C21*H146</f>
        <v>12396125.568993507</v>
      </c>
      <c r="F146" s="170">
        <f>E146/C$21</f>
        <v>0.01</v>
      </c>
      <c r="G146" s="160" t="s">
        <v>395</v>
      </c>
      <c r="H146" s="242">
        <v>0.01</v>
      </c>
      <c r="I146" s="238"/>
      <c r="J146" s="239"/>
      <c r="K146" s="240"/>
      <c r="L146" s="241"/>
      <c r="N146" s="83"/>
      <c r="P146" s="94"/>
      <c r="Q146" s="229"/>
      <c r="R146" s="229"/>
      <c r="S146" s="229"/>
      <c r="T146" s="230"/>
      <c r="U146" s="229"/>
    </row>
    <row r="147" spans="2:21">
      <c r="B147" s="231"/>
      <c r="C147" s="243" t="s">
        <v>16</v>
      </c>
      <c r="D147" s="244"/>
      <c r="E147" s="173">
        <f>SUM(E143:E146)</f>
        <v>27596125.568993509</v>
      </c>
      <c r="F147" s="174">
        <f>E147/C$21</f>
        <v>2.2261895795908877E-2</v>
      </c>
      <c r="G147" s="175"/>
      <c r="H147" s="245"/>
      <c r="I147" s="238"/>
      <c r="J147" s="239"/>
      <c r="K147" s="240"/>
      <c r="L147" s="241"/>
      <c r="N147" s="83"/>
      <c r="P147" s="94"/>
      <c r="T147" s="246"/>
    </row>
    <row r="148" spans="2:21">
      <c r="B148" s="247"/>
      <c r="C148" s="248"/>
      <c r="D148" s="249"/>
      <c r="E148" s="250"/>
      <c r="F148" s="212"/>
      <c r="G148" s="251"/>
      <c r="H148" s="252"/>
      <c r="I148" s="253"/>
      <c r="J148" s="254"/>
      <c r="K148" s="255"/>
      <c r="L148" s="256"/>
      <c r="N148" s="83"/>
      <c r="P148" s="94"/>
      <c r="T148" s="246"/>
    </row>
    <row r="149" spans="2:21">
      <c r="B149" s="257" t="s">
        <v>1</v>
      </c>
      <c r="C149" s="258" t="s">
        <v>249</v>
      </c>
      <c r="D149" s="259"/>
      <c r="E149" s="260">
        <f>H149*C10</f>
        <v>97590225.608766228</v>
      </c>
      <c r="F149" s="174">
        <f>E149/C$21</f>
        <v>7.8726393231179567E-2</v>
      </c>
      <c r="G149" s="261" t="s">
        <v>250</v>
      </c>
      <c r="H149" s="262">
        <v>1500</v>
      </c>
      <c r="I149" s="263" t="s">
        <v>331</v>
      </c>
      <c r="J149" s="264"/>
      <c r="K149" s="265"/>
      <c r="L149" s="266"/>
      <c r="T149" s="246"/>
    </row>
    <row r="150" spans="2:21">
      <c r="B150" s="267"/>
      <c r="C150" s="268"/>
      <c r="D150" s="269"/>
      <c r="E150" s="250"/>
      <c r="F150" s="212"/>
      <c r="G150" s="213"/>
      <c r="H150" s="214"/>
      <c r="I150" s="215"/>
      <c r="J150" s="216"/>
      <c r="K150" s="215"/>
      <c r="L150" s="217"/>
      <c r="T150" s="246"/>
    </row>
    <row r="151" spans="2:21">
      <c r="B151" s="270"/>
      <c r="C151" s="271" t="s">
        <v>251</v>
      </c>
      <c r="D151" s="271"/>
      <c r="E151" s="272">
        <f>E135+E141+E147+E149</f>
        <v>198611884.84598213</v>
      </c>
      <c r="F151" s="273">
        <f>E151/C21</f>
        <v>0.16022093656647934</v>
      </c>
      <c r="G151" s="274"/>
      <c r="H151" s="275"/>
      <c r="I151" s="274"/>
      <c r="J151" s="274"/>
      <c r="K151" s="274"/>
      <c r="L151" s="276"/>
    </row>
    <row r="154" spans="2:21" ht="21" customHeight="1">
      <c r="B154" s="277" t="s">
        <v>212</v>
      </c>
      <c r="C154" s="278"/>
      <c r="D154" s="278"/>
      <c r="E154" s="279" t="s">
        <v>124</v>
      </c>
      <c r="F154" s="279" t="s">
        <v>40</v>
      </c>
      <c r="G154" s="279" t="s">
        <v>252</v>
      </c>
      <c r="H154" s="280" t="s">
        <v>253</v>
      </c>
    </row>
    <row r="155" spans="2:21">
      <c r="B155" s="281" t="s">
        <v>254</v>
      </c>
      <c r="C155" s="282" t="s">
        <v>255</v>
      </c>
      <c r="D155" s="282"/>
      <c r="E155" s="283"/>
      <c r="F155" s="284"/>
      <c r="G155" s="282"/>
      <c r="H155" s="285"/>
    </row>
    <row r="156" spans="2:21">
      <c r="B156" s="286" t="s">
        <v>256</v>
      </c>
      <c r="C156" s="287"/>
      <c r="D156" s="287"/>
      <c r="E156" s="288">
        <f>SUM(E98:E115)</f>
        <v>9864000</v>
      </c>
      <c r="F156" s="289">
        <f>E156/$C$21</f>
        <v>7.9573250086082334E-3</v>
      </c>
      <c r="G156" s="290">
        <f>E156/$C$10</f>
        <v>151.61354436576815</v>
      </c>
      <c r="H156" s="291">
        <f>E156/$C$9</f>
        <v>130.55390113162596</v>
      </c>
    </row>
    <row r="157" spans="2:21">
      <c r="B157" s="286" t="s">
        <v>257</v>
      </c>
      <c r="C157" s="287"/>
      <c r="D157" s="287"/>
      <c r="E157" s="288">
        <f>E135</f>
        <v>42633282.530235395</v>
      </c>
      <c r="F157" s="289">
        <f>E157/$C$21</f>
        <v>3.4392425514690045E-2</v>
      </c>
      <c r="G157" s="290">
        <f>E157/$C$10</f>
        <v>655.29025469953081</v>
      </c>
      <c r="H157" s="291">
        <f>E157/$C$9</f>
        <v>564.26818251916347</v>
      </c>
    </row>
    <row r="158" spans="2:21">
      <c r="B158" s="292" t="s">
        <v>35</v>
      </c>
      <c r="C158" s="293"/>
      <c r="D158" s="293"/>
      <c r="E158" s="294">
        <f>E156+E157</f>
        <v>52497282.530235395</v>
      </c>
      <c r="F158" s="295">
        <f>E158/$C$21</f>
        <v>4.2349750523298278E-2</v>
      </c>
      <c r="G158" s="296">
        <f>E158/$C$10</f>
        <v>806.90379906529893</v>
      </c>
      <c r="H158" s="297">
        <f>E158/$C$9</f>
        <v>694.82208365078941</v>
      </c>
    </row>
    <row r="159" spans="2:21">
      <c r="B159" s="298" t="s">
        <v>233</v>
      </c>
      <c r="C159" s="299" t="s">
        <v>258</v>
      </c>
      <c r="D159" s="299"/>
      <c r="E159" s="300"/>
      <c r="F159" s="301"/>
      <c r="G159" s="299"/>
      <c r="H159" s="302"/>
    </row>
    <row r="160" spans="2:21">
      <c r="B160" s="303" t="s">
        <v>256</v>
      </c>
      <c r="C160" s="304"/>
      <c r="D160" s="304"/>
      <c r="E160" s="305">
        <f>SUM(E118:E120)</f>
        <v>0</v>
      </c>
      <c r="F160" s="306">
        <f>E160/$C$21</f>
        <v>0</v>
      </c>
      <c r="G160" s="307">
        <f>E160/$C$10</f>
        <v>0</v>
      </c>
      <c r="H160" s="308">
        <f>E160/$C$9</f>
        <v>0</v>
      </c>
    </row>
    <row r="161" spans="2:8">
      <c r="B161" s="303" t="s">
        <v>257</v>
      </c>
      <c r="C161" s="304"/>
      <c r="D161" s="304"/>
      <c r="E161" s="305">
        <f>E141</f>
        <v>30792251.137987014</v>
      </c>
      <c r="F161" s="306">
        <f>E161/$C$21</f>
        <v>2.4840222024700872E-2</v>
      </c>
      <c r="G161" s="307">
        <f>E161/$C$10</f>
        <v>473.28896330404183</v>
      </c>
      <c r="H161" s="308">
        <f>E161/$C$9</f>
        <v>407.54749702848272</v>
      </c>
    </row>
    <row r="162" spans="2:8">
      <c r="B162" s="309" t="s">
        <v>35</v>
      </c>
      <c r="C162" s="310"/>
      <c r="D162" s="310"/>
      <c r="E162" s="311">
        <f>E160+E161</f>
        <v>30792251.137987014</v>
      </c>
      <c r="F162" s="312">
        <f>E162/$C$21</f>
        <v>2.4840222024700872E-2</v>
      </c>
      <c r="G162" s="313">
        <f>E162/$C$10</f>
        <v>473.28896330404183</v>
      </c>
      <c r="H162" s="314">
        <f>E162/$C$9</f>
        <v>407.54749702848272</v>
      </c>
    </row>
    <row r="163" spans="2:8">
      <c r="B163" s="315" t="s">
        <v>14</v>
      </c>
      <c r="C163" s="316" t="s">
        <v>259</v>
      </c>
      <c r="D163" s="316"/>
      <c r="E163" s="317"/>
      <c r="F163" s="318"/>
      <c r="G163" s="316"/>
      <c r="H163" s="319"/>
    </row>
    <row r="164" spans="2:8">
      <c r="B164" s="320" t="s">
        <v>256</v>
      </c>
      <c r="C164" s="321"/>
      <c r="D164" s="321"/>
      <c r="E164" s="322">
        <f>SUM(E123:E124)</f>
        <v>0</v>
      </c>
      <c r="F164" s="323">
        <f>E164/$C$21</f>
        <v>0</v>
      </c>
      <c r="G164" s="324">
        <f>E164/$C$10</f>
        <v>0</v>
      </c>
      <c r="H164" s="325">
        <f>E164/$C$9</f>
        <v>0</v>
      </c>
    </row>
    <row r="165" spans="2:8">
      <c r="B165" s="320" t="s">
        <v>257</v>
      </c>
      <c r="C165" s="321"/>
      <c r="D165" s="321"/>
      <c r="E165" s="322">
        <f>E147</f>
        <v>27596125.568993509</v>
      </c>
      <c r="F165" s="323">
        <f>E165/$C$21</f>
        <v>2.2261895795908877E-2</v>
      </c>
      <c r="G165" s="324">
        <f>E165/$C$10</f>
        <v>424.16326117983635</v>
      </c>
      <c r="H165" s="325">
        <f>E165/$C$9</f>
        <v>365.24552404200261</v>
      </c>
    </row>
    <row r="166" spans="2:8">
      <c r="B166" s="326" t="s">
        <v>35</v>
      </c>
      <c r="C166" s="327"/>
      <c r="D166" s="327"/>
      <c r="E166" s="328">
        <f>E164+E165</f>
        <v>27596125.568993509</v>
      </c>
      <c r="F166" s="329">
        <f>E166/$C$21</f>
        <v>2.2261895795908877E-2</v>
      </c>
      <c r="G166" s="330">
        <f>E166/$C$10</f>
        <v>424.16326117983635</v>
      </c>
      <c r="H166" s="331">
        <f>E166/$C$9</f>
        <v>365.24552404200261</v>
      </c>
    </row>
    <row r="167" spans="2:8">
      <c r="B167" s="332" t="s">
        <v>15</v>
      </c>
      <c r="C167" s="333"/>
      <c r="D167" s="333"/>
      <c r="E167" s="334">
        <f>E149</f>
        <v>97590225.608766228</v>
      </c>
      <c r="F167" s="335">
        <f>E167/$C$21</f>
        <v>7.8726393231179567E-2</v>
      </c>
      <c r="G167" s="336">
        <f>E167/$C$10</f>
        <v>1500</v>
      </c>
      <c r="H167" s="337">
        <f>E167/$C$9</f>
        <v>1291.6448363280554</v>
      </c>
    </row>
    <row r="168" spans="2:8" ht="14.15" customHeight="1">
      <c r="B168" s="338" t="s">
        <v>16</v>
      </c>
      <c r="C168" s="274"/>
      <c r="D168" s="274"/>
      <c r="E168" s="272">
        <f>E158+E162+E166+E167</f>
        <v>208475884.84598213</v>
      </c>
      <c r="F168" s="273">
        <f>E168/C21</f>
        <v>0.16817826157508758</v>
      </c>
      <c r="G168" s="272">
        <f>G158+G162+G166+G167</f>
        <v>3204.3560235491768</v>
      </c>
      <c r="H168" s="339">
        <f>H158+H162+H166+H167</f>
        <v>2759.2599410493303</v>
      </c>
    </row>
    <row r="170" spans="2:8">
      <c r="E170" s="340" t="s">
        <v>276</v>
      </c>
    </row>
    <row r="171" spans="2:8">
      <c r="B171" s="341" t="s">
        <v>212</v>
      </c>
      <c r="C171" s="85"/>
      <c r="D171" s="85"/>
      <c r="E171" s="342"/>
    </row>
    <row r="172" spans="2:8">
      <c r="B172" s="66" t="s">
        <v>260</v>
      </c>
      <c r="E172" s="343">
        <f>E156+E160+E164</f>
        <v>9864000</v>
      </c>
    </row>
    <row r="173" spans="2:8">
      <c r="B173" s="66" t="s">
        <v>261</v>
      </c>
      <c r="E173" s="343">
        <f>E157+E161+E165</f>
        <v>101021659.23721592</v>
      </c>
    </row>
    <row r="174" spans="2:8">
      <c r="B174" s="66" t="s">
        <v>66</v>
      </c>
      <c r="E174" s="343">
        <f>E167</f>
        <v>97590225.608766228</v>
      </c>
    </row>
    <row r="175" spans="2:8">
      <c r="B175" s="72" t="s">
        <v>35</v>
      </c>
      <c r="C175" s="89"/>
      <c r="D175" s="89"/>
      <c r="E175" s="344">
        <f>E172+E173+E174</f>
        <v>208475884.84598213</v>
      </c>
    </row>
    <row r="176" spans="2:8">
      <c r="B176" s="56" t="s">
        <v>2</v>
      </c>
      <c r="E176" s="246">
        <f>Proforma!D82</f>
        <v>208475884.84598213</v>
      </c>
    </row>
    <row r="180" spans="3:14">
      <c r="C180" s="345" t="s">
        <v>143</v>
      </c>
      <c r="D180" s="346"/>
      <c r="E180" s="347" t="s">
        <v>30</v>
      </c>
      <c r="F180" s="348"/>
      <c r="G180" s="349" t="s">
        <v>31</v>
      </c>
      <c r="H180" s="348"/>
      <c r="I180" s="349" t="s">
        <v>32</v>
      </c>
      <c r="J180" s="348"/>
      <c r="K180" s="349" t="s">
        <v>33</v>
      </c>
      <c r="L180" s="348"/>
      <c r="M180" s="349" t="s">
        <v>34</v>
      </c>
      <c r="N180" s="348"/>
    </row>
    <row r="181" spans="3:14">
      <c r="C181" s="350" t="s">
        <v>262</v>
      </c>
      <c r="D181" s="351"/>
      <c r="E181" s="352" t="s">
        <v>145</v>
      </c>
      <c r="F181" s="353" t="s">
        <v>146</v>
      </c>
      <c r="G181" s="353" t="s">
        <v>145</v>
      </c>
      <c r="H181" s="353" t="s">
        <v>146</v>
      </c>
      <c r="I181" s="353" t="s">
        <v>145</v>
      </c>
      <c r="J181" s="353" t="s">
        <v>146</v>
      </c>
      <c r="K181" s="353" t="s">
        <v>145</v>
      </c>
      <c r="L181" s="353" t="s">
        <v>146</v>
      </c>
      <c r="M181" s="353" t="s">
        <v>145</v>
      </c>
      <c r="N181" s="353" t="s">
        <v>146</v>
      </c>
    </row>
    <row r="182" spans="3:14">
      <c r="C182" s="66" t="s">
        <v>263</v>
      </c>
      <c r="D182" s="71"/>
      <c r="E182" s="126">
        <f>SUM(E65:E82)</f>
        <v>1</v>
      </c>
      <c r="F182" s="354">
        <f>SUM(E98:E115)</f>
        <v>9864000</v>
      </c>
      <c r="G182" s="126">
        <f>SUM(F65:F82)</f>
        <v>1</v>
      </c>
      <c r="H182" s="354">
        <f>SUM(F98:F115)</f>
        <v>9864000</v>
      </c>
      <c r="I182" s="126">
        <f>SUM(G65:G82)</f>
        <v>1</v>
      </c>
      <c r="J182" s="354">
        <f>SUM(G98:G115)</f>
        <v>9864000</v>
      </c>
      <c r="K182" s="126">
        <f>SUM(H65:H82)</f>
        <v>1</v>
      </c>
      <c r="L182" s="354">
        <f>SUM(H98:H115)</f>
        <v>9864000</v>
      </c>
      <c r="M182" s="126">
        <f>SUM(I65:I82)</f>
        <v>1</v>
      </c>
      <c r="N182" s="355">
        <f>SUM(I98:I115)</f>
        <v>9864000</v>
      </c>
    </row>
    <row r="183" spans="3:14">
      <c r="C183" s="66" t="s">
        <v>264</v>
      </c>
      <c r="D183" s="71"/>
      <c r="E183" s="131">
        <f>SUM(E85:E87)</f>
        <v>0</v>
      </c>
      <c r="F183" s="83">
        <f>SUM(E118:E120)</f>
        <v>0</v>
      </c>
      <c r="G183" s="131">
        <f>SUM(F85:F87)</f>
        <v>0</v>
      </c>
      <c r="H183" s="83">
        <f>SUM(F118:F120)</f>
        <v>0</v>
      </c>
      <c r="I183" s="131">
        <f>SUM(G85:G87)</f>
        <v>0</v>
      </c>
      <c r="J183" s="83">
        <f>SUM(G118:G120)</f>
        <v>0</v>
      </c>
      <c r="K183" s="131">
        <f>SUM(H85:H87)</f>
        <v>0</v>
      </c>
      <c r="L183" s="83">
        <f>SUM(H118:H120)</f>
        <v>0</v>
      </c>
      <c r="M183" s="131">
        <f>SUM(I85:I87)</f>
        <v>0</v>
      </c>
      <c r="N183" s="343">
        <f>SUM(I118:I120)</f>
        <v>0</v>
      </c>
    </row>
    <row r="184" spans="3:14">
      <c r="C184" s="66" t="s">
        <v>265</v>
      </c>
      <c r="D184" s="71"/>
      <c r="E184" s="131">
        <f>SUM(E90:E91)</f>
        <v>0</v>
      </c>
      <c r="F184" s="83">
        <f>SUM(E123:E124)</f>
        <v>0</v>
      </c>
      <c r="G184" s="131">
        <f>SUM(F90:F91)</f>
        <v>0</v>
      </c>
      <c r="H184" s="83">
        <f>SUM(F123:F124)</f>
        <v>0</v>
      </c>
      <c r="I184" s="131">
        <f>SUM(G90:G91)</f>
        <v>0</v>
      </c>
      <c r="J184" s="83">
        <f>SUM(G123:G124)</f>
        <v>0</v>
      </c>
      <c r="K184" s="131">
        <f>SUM(H90:H91)</f>
        <v>0</v>
      </c>
      <c r="L184" s="83">
        <f>SUM(H123:H124)</f>
        <v>0</v>
      </c>
      <c r="M184" s="131">
        <f>SUM(I90:I91)</f>
        <v>0</v>
      </c>
      <c r="N184" s="343">
        <f>SUM(I123:I124)</f>
        <v>0</v>
      </c>
    </row>
    <row r="185" spans="3:14" s="58" customFormat="1">
      <c r="C185" s="356" t="s">
        <v>35</v>
      </c>
      <c r="D185" s="357"/>
      <c r="E185" s="358">
        <f t="shared" ref="E185:N185" si="47">SUM(E182:E184)</f>
        <v>1</v>
      </c>
      <c r="F185" s="358">
        <f t="shared" si="47"/>
        <v>9864000</v>
      </c>
      <c r="G185" s="358">
        <f t="shared" si="47"/>
        <v>1</v>
      </c>
      <c r="H185" s="358">
        <f t="shared" si="47"/>
        <v>9864000</v>
      </c>
      <c r="I185" s="358">
        <f t="shared" si="47"/>
        <v>1</v>
      </c>
      <c r="J185" s="358">
        <f t="shared" si="47"/>
        <v>9864000</v>
      </c>
      <c r="K185" s="358">
        <f t="shared" si="47"/>
        <v>1</v>
      </c>
      <c r="L185" s="358">
        <f t="shared" si="47"/>
        <v>9864000</v>
      </c>
      <c r="M185" s="358">
        <f t="shared" si="47"/>
        <v>1</v>
      </c>
      <c r="N185" s="359">
        <f t="shared" si="47"/>
        <v>9864000</v>
      </c>
    </row>
    <row r="186" spans="3:14">
      <c r="C186" s="66"/>
      <c r="D186" s="71"/>
      <c r="N186" s="71"/>
    </row>
    <row r="187" spans="3:14">
      <c r="C187" s="66" t="s">
        <v>120</v>
      </c>
      <c r="D187" s="71"/>
      <c r="E187" s="131">
        <f>M64</f>
        <v>1</v>
      </c>
      <c r="G187" s="131">
        <f>N64</f>
        <v>1</v>
      </c>
      <c r="I187" s="131">
        <f>O64</f>
        <v>1</v>
      </c>
      <c r="K187" s="131">
        <f>P64</f>
        <v>1</v>
      </c>
      <c r="M187" s="131">
        <f>Q64</f>
        <v>1</v>
      </c>
      <c r="N187" s="132"/>
    </row>
    <row r="188" spans="3:14">
      <c r="C188" s="66" t="s">
        <v>121</v>
      </c>
      <c r="D188" s="71"/>
      <c r="E188" s="131">
        <f>M65</f>
        <v>0</v>
      </c>
      <c r="G188" s="131">
        <f>N65</f>
        <v>0</v>
      </c>
      <c r="I188" s="131">
        <f>O65</f>
        <v>0</v>
      </c>
      <c r="K188" s="131">
        <f>P65</f>
        <v>0</v>
      </c>
      <c r="M188" s="131">
        <f>Q65</f>
        <v>0</v>
      </c>
      <c r="N188" s="132"/>
    </row>
    <row r="189" spans="3:14" s="58" customFormat="1">
      <c r="C189" s="360" t="s">
        <v>35</v>
      </c>
      <c r="D189" s="361"/>
      <c r="E189" s="362">
        <f>E187+E188</f>
        <v>1</v>
      </c>
      <c r="F189" s="363"/>
      <c r="G189" s="362">
        <f>G187+G188</f>
        <v>1</v>
      </c>
      <c r="H189" s="364"/>
      <c r="I189" s="362">
        <f>I187+I188</f>
        <v>1</v>
      </c>
      <c r="J189" s="363"/>
      <c r="K189" s="362">
        <f>K187+K188</f>
        <v>1</v>
      </c>
      <c r="L189" s="363"/>
      <c r="M189" s="362">
        <f>M187+M188</f>
        <v>1</v>
      </c>
      <c r="N189" s="365"/>
    </row>
  </sheetData>
  <mergeCells count="5">
    <mergeCell ref="E180:F180"/>
    <mergeCell ref="G180:H180"/>
    <mergeCell ref="I180:J180"/>
    <mergeCell ref="K180:L180"/>
    <mergeCell ref="M180:N180"/>
  </mergeCells>
  <phoneticPr fontId="23"/>
  <pageMargins left="0.7" right="0.7" top="0.75" bottom="0.75" header="0.3" footer="0.3"/>
  <pageSetup paperSize="8"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021B-C3A9-4AE0-B434-2C9EC499159A}">
  <sheetPr>
    <pageSetUpPr fitToPage="1"/>
  </sheetPr>
  <dimension ref="A1:N60"/>
  <sheetViews>
    <sheetView showGridLines="0" zoomScale="85" zoomScaleNormal="85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C59" sqref="C59"/>
    </sheetView>
  </sheetViews>
  <sheetFormatPr defaultColWidth="9" defaultRowHeight="12"/>
  <cols>
    <col min="1" max="1" width="3.36328125" style="1" customWidth="1"/>
    <col min="2" max="2" width="24" style="1" customWidth="1"/>
    <col min="3" max="3" width="16.90625" style="6" customWidth="1"/>
    <col min="4" max="12" width="16.90625" style="1" customWidth="1"/>
    <col min="13" max="13" width="5" style="1" customWidth="1"/>
    <col min="14" max="14" width="13.36328125" style="1" bestFit="1" customWidth="1"/>
    <col min="15" max="15" width="10.7265625" style="1" customWidth="1"/>
    <col min="16" max="16384" width="9" style="1"/>
  </cols>
  <sheetData>
    <row r="1" spans="1:14" s="1" customFormat="1">
      <c r="A1" s="5" t="str">
        <f>'Undist Expense'!A1</f>
        <v>Hotel xxxx</v>
      </c>
      <c r="C1" s="6"/>
    </row>
    <row r="2" spans="1:14" s="1" customFormat="1">
      <c r="A2" s="5" t="s">
        <v>266</v>
      </c>
      <c r="C2" s="6"/>
    </row>
    <row r="3" spans="1:14" s="1" customFormat="1">
      <c r="A3" s="5" t="s">
        <v>27</v>
      </c>
      <c r="C3" s="6"/>
    </row>
    <row r="4" spans="1:14" s="1" customFormat="1">
      <c r="A4" s="5"/>
      <c r="C4" s="6"/>
    </row>
    <row r="6" spans="1:14" s="1" customFormat="1" ht="15" customHeight="1">
      <c r="B6" s="7" t="s">
        <v>267</v>
      </c>
      <c r="C6" s="8" t="s">
        <v>30</v>
      </c>
      <c r="D6" s="8"/>
      <c r="E6" s="9" t="s">
        <v>31</v>
      </c>
      <c r="F6" s="10"/>
      <c r="G6" s="9" t="s">
        <v>32</v>
      </c>
      <c r="H6" s="10"/>
      <c r="I6" s="9" t="s">
        <v>33</v>
      </c>
      <c r="J6" s="10"/>
      <c r="K6" s="9" t="s">
        <v>34</v>
      </c>
      <c r="L6" s="10"/>
      <c r="N6" s="11" t="s">
        <v>268</v>
      </c>
    </row>
    <row r="7" spans="1:14" s="1" customFormat="1" ht="11.25" customHeight="1">
      <c r="B7" s="12"/>
      <c r="C7" s="13" t="s">
        <v>145</v>
      </c>
      <c r="D7" s="13" t="s">
        <v>146</v>
      </c>
      <c r="E7" s="13" t="s">
        <v>145</v>
      </c>
      <c r="F7" s="13" t="s">
        <v>146</v>
      </c>
      <c r="G7" s="13" t="s">
        <v>145</v>
      </c>
      <c r="H7" s="13" t="s">
        <v>146</v>
      </c>
      <c r="I7" s="13" t="s">
        <v>145</v>
      </c>
      <c r="J7" s="13" t="s">
        <v>146</v>
      </c>
      <c r="K7" s="13" t="s">
        <v>145</v>
      </c>
      <c r="L7" s="13" t="s">
        <v>146</v>
      </c>
      <c r="N7" s="14"/>
    </row>
    <row r="8" spans="1:14" s="1" customFormat="1">
      <c r="B8" s="15"/>
      <c r="C8" s="16"/>
      <c r="D8" s="17"/>
      <c r="E8" s="16"/>
      <c r="F8" s="17"/>
      <c r="G8" s="16"/>
      <c r="H8" s="17"/>
      <c r="I8" s="17"/>
      <c r="J8" s="17"/>
      <c r="K8" s="17"/>
      <c r="L8" s="18"/>
      <c r="N8" s="19"/>
    </row>
    <row r="9" spans="1:14" s="20" customFormat="1">
      <c r="B9" s="21" t="s">
        <v>19</v>
      </c>
      <c r="C9" s="22">
        <f>Rooms!G205</f>
        <v>14</v>
      </c>
      <c r="D9" s="22">
        <f>Rooms!H205</f>
        <v>55306560</v>
      </c>
      <c r="E9" s="23">
        <f>Rooms!I205</f>
        <v>14</v>
      </c>
      <c r="F9" s="23">
        <f>Rooms!J205</f>
        <v>55306560</v>
      </c>
      <c r="G9" s="23">
        <f>Rooms!K205</f>
        <v>14</v>
      </c>
      <c r="H9" s="23">
        <f>Rooms!L205</f>
        <v>55306560</v>
      </c>
      <c r="I9" s="23">
        <f>Rooms!M205</f>
        <v>14</v>
      </c>
      <c r="J9" s="23">
        <f>Rooms!N205</f>
        <v>55306560</v>
      </c>
      <c r="K9" s="23">
        <f>Rooms!O205</f>
        <v>14</v>
      </c>
      <c r="L9" s="24">
        <f>Rooms!P205</f>
        <v>55306560</v>
      </c>
      <c r="N9" s="25">
        <f>D9/12</f>
        <v>4608880</v>
      </c>
    </row>
    <row r="10" spans="1:14" s="20" customFormat="1">
      <c r="B10" s="26"/>
      <c r="C10" s="27"/>
      <c r="D10" s="28"/>
      <c r="E10" s="29"/>
      <c r="F10" s="29"/>
      <c r="G10" s="29"/>
      <c r="H10" s="29"/>
      <c r="I10" s="29"/>
      <c r="J10" s="29"/>
      <c r="K10" s="29"/>
      <c r="L10" s="30"/>
      <c r="M10" s="1"/>
      <c r="N10" s="19"/>
    </row>
    <row r="11" spans="1:14" s="20" customFormat="1">
      <c r="B11" s="26" t="s">
        <v>307</v>
      </c>
      <c r="C11" s="27">
        <f>Restaurant!E189</f>
        <v>33</v>
      </c>
      <c r="D11" s="27">
        <f>Restaurant!F189</f>
        <v>124460800</v>
      </c>
      <c r="E11" s="31">
        <f>Restaurant!G189</f>
        <v>33</v>
      </c>
      <c r="F11" s="31">
        <f>Restaurant!H189</f>
        <v>124460800</v>
      </c>
      <c r="G11" s="31">
        <f>Restaurant!I189</f>
        <v>33</v>
      </c>
      <c r="H11" s="31">
        <f>Restaurant!J189</f>
        <v>124460800</v>
      </c>
      <c r="I11" s="31">
        <f>Restaurant!K189</f>
        <v>33</v>
      </c>
      <c r="J11" s="31">
        <f>Restaurant!L189</f>
        <v>124460800</v>
      </c>
      <c r="K11" s="31">
        <f>Restaurant!M189</f>
        <v>33</v>
      </c>
      <c r="L11" s="32">
        <f>Restaurant!N189</f>
        <v>124460800</v>
      </c>
      <c r="M11" s="1"/>
      <c r="N11" s="25">
        <f>D11/12</f>
        <v>10371733.333333334</v>
      </c>
    </row>
    <row r="12" spans="1:14" s="20" customFormat="1">
      <c r="B12" s="26"/>
      <c r="C12" s="27"/>
      <c r="D12" s="28"/>
      <c r="E12" s="29"/>
      <c r="F12" s="29"/>
      <c r="G12" s="29"/>
      <c r="H12" s="29"/>
      <c r="I12" s="29"/>
      <c r="J12" s="29"/>
      <c r="K12" s="29"/>
      <c r="L12" s="30"/>
      <c r="M12" s="1"/>
      <c r="N12" s="19"/>
    </row>
    <row r="13" spans="1:14" s="20" customFormat="1">
      <c r="B13" s="26" t="s">
        <v>297</v>
      </c>
      <c r="C13" s="27">
        <f>MOD!E81</f>
        <v>0</v>
      </c>
      <c r="D13" s="28">
        <f>MOD!E91</f>
        <v>0</v>
      </c>
      <c r="E13" s="29">
        <f>MOD!F81</f>
        <v>0</v>
      </c>
      <c r="F13" s="29">
        <f>MOD!F91</f>
        <v>0</v>
      </c>
      <c r="G13" s="29">
        <f>MOD!G81</f>
        <v>0</v>
      </c>
      <c r="H13" s="29">
        <f>MOD!G91</f>
        <v>0</v>
      </c>
      <c r="I13" s="29">
        <f>MOD!H81</f>
        <v>0</v>
      </c>
      <c r="J13" s="29">
        <f>MOD!H91</f>
        <v>0</v>
      </c>
      <c r="K13" s="29">
        <f>MOD!I81</f>
        <v>0</v>
      </c>
      <c r="L13" s="30">
        <f>MOD!I91</f>
        <v>0</v>
      </c>
      <c r="M13" s="1"/>
      <c r="N13" s="25">
        <f>D13/12</f>
        <v>0</v>
      </c>
    </row>
    <row r="14" spans="1:14" s="20" customFormat="1">
      <c r="B14" s="26"/>
      <c r="C14" s="27"/>
      <c r="D14" s="28"/>
      <c r="E14" s="29"/>
      <c r="F14" s="29"/>
      <c r="G14" s="29"/>
      <c r="H14" s="29"/>
      <c r="I14" s="29"/>
      <c r="J14" s="29"/>
      <c r="K14" s="29"/>
      <c r="L14" s="30"/>
      <c r="M14" s="1"/>
      <c r="N14" s="19"/>
    </row>
    <row r="15" spans="1:14" s="20" customFormat="1">
      <c r="B15" s="26" t="s">
        <v>213</v>
      </c>
      <c r="C15" s="27">
        <f>'Undist Expense'!E182</f>
        <v>1</v>
      </c>
      <c r="D15" s="27">
        <f>'Undist Expense'!F182</f>
        <v>9864000</v>
      </c>
      <c r="E15" s="31">
        <f>'Undist Expense'!G182</f>
        <v>1</v>
      </c>
      <c r="F15" s="31">
        <f>'Undist Expense'!H182</f>
        <v>9864000</v>
      </c>
      <c r="G15" s="31">
        <f>'Undist Expense'!I182</f>
        <v>1</v>
      </c>
      <c r="H15" s="31">
        <f>'Undist Expense'!J182</f>
        <v>9864000</v>
      </c>
      <c r="I15" s="31">
        <f>'Undist Expense'!K182</f>
        <v>1</v>
      </c>
      <c r="J15" s="31">
        <f>'Undist Expense'!L182</f>
        <v>9864000</v>
      </c>
      <c r="K15" s="31">
        <f>'Undist Expense'!M182</f>
        <v>1</v>
      </c>
      <c r="L15" s="32">
        <f>'Undist Expense'!N182</f>
        <v>9864000</v>
      </c>
      <c r="M15" s="1"/>
      <c r="N15" s="25">
        <f>D15/12</f>
        <v>822000</v>
      </c>
    </row>
    <row r="16" spans="1:14" s="20" customFormat="1">
      <c r="B16" s="26"/>
      <c r="C16" s="27"/>
      <c r="D16" s="27"/>
      <c r="E16" s="31"/>
      <c r="F16" s="31"/>
      <c r="G16" s="31"/>
      <c r="H16" s="31"/>
      <c r="I16" s="31"/>
      <c r="J16" s="31"/>
      <c r="K16" s="31"/>
      <c r="L16" s="32"/>
      <c r="M16" s="1"/>
      <c r="N16" s="19"/>
    </row>
    <row r="17" spans="2:14" s="20" customFormat="1">
      <c r="B17" s="26" t="s">
        <v>228</v>
      </c>
      <c r="C17" s="27">
        <f>'Undist Expense'!E183</f>
        <v>0</v>
      </c>
      <c r="D17" s="27">
        <f>'Undist Expense'!F183</f>
        <v>0</v>
      </c>
      <c r="E17" s="31">
        <f>'Undist Expense'!G183</f>
        <v>0</v>
      </c>
      <c r="F17" s="31">
        <f>'Undist Expense'!H183</f>
        <v>0</v>
      </c>
      <c r="G17" s="31">
        <f>'Undist Expense'!I183</f>
        <v>0</v>
      </c>
      <c r="H17" s="31">
        <f>'Undist Expense'!J183</f>
        <v>0</v>
      </c>
      <c r="I17" s="31">
        <f>'Undist Expense'!K183</f>
        <v>0</v>
      </c>
      <c r="J17" s="31">
        <f>'Undist Expense'!L183</f>
        <v>0</v>
      </c>
      <c r="K17" s="31">
        <f>'Undist Expense'!M183</f>
        <v>0</v>
      </c>
      <c r="L17" s="32">
        <f>'Undist Expense'!N183</f>
        <v>0</v>
      </c>
      <c r="M17" s="1"/>
      <c r="N17" s="25">
        <f>D17/12</f>
        <v>0</v>
      </c>
    </row>
    <row r="18" spans="2:14" s="20" customFormat="1">
      <c r="B18" s="26"/>
      <c r="C18" s="27"/>
      <c r="D18" s="27"/>
      <c r="E18" s="31"/>
      <c r="F18" s="31"/>
      <c r="G18" s="31"/>
      <c r="H18" s="31"/>
      <c r="I18" s="31"/>
      <c r="J18" s="31"/>
      <c r="K18" s="31"/>
      <c r="L18" s="32"/>
      <c r="M18" s="1"/>
      <c r="N18" s="19"/>
    </row>
    <row r="19" spans="2:14" s="20" customFormat="1">
      <c r="B19" s="26" t="s">
        <v>269</v>
      </c>
      <c r="C19" s="27">
        <f>'Undist Expense'!E184</f>
        <v>0</v>
      </c>
      <c r="D19" s="27">
        <f>'Undist Expense'!F184</f>
        <v>0</v>
      </c>
      <c r="E19" s="31">
        <f>'Undist Expense'!G184</f>
        <v>0</v>
      </c>
      <c r="F19" s="31">
        <f>'Undist Expense'!H184</f>
        <v>0</v>
      </c>
      <c r="G19" s="31">
        <f>'Undist Expense'!I184</f>
        <v>0</v>
      </c>
      <c r="H19" s="31">
        <f>'Undist Expense'!J184</f>
        <v>0</v>
      </c>
      <c r="I19" s="31">
        <f>'Undist Expense'!K184</f>
        <v>0</v>
      </c>
      <c r="J19" s="31">
        <f>'Undist Expense'!L184</f>
        <v>0</v>
      </c>
      <c r="K19" s="31">
        <f>'Undist Expense'!M184</f>
        <v>0</v>
      </c>
      <c r="L19" s="32">
        <f>'Undist Expense'!N184</f>
        <v>0</v>
      </c>
      <c r="M19" s="1"/>
      <c r="N19" s="25">
        <f>D19/12</f>
        <v>0</v>
      </c>
    </row>
    <row r="20" spans="2:14" s="20" customFormat="1">
      <c r="B20" s="26"/>
      <c r="C20" s="27"/>
      <c r="D20" s="28"/>
      <c r="E20" s="29"/>
      <c r="F20" s="29"/>
      <c r="G20" s="29"/>
      <c r="H20" s="29"/>
      <c r="I20" s="29"/>
      <c r="J20" s="29"/>
      <c r="K20" s="29"/>
      <c r="L20" s="30"/>
      <c r="M20" s="1"/>
      <c r="N20" s="33"/>
    </row>
    <row r="21" spans="2:14" s="20" customFormat="1">
      <c r="B21" s="34" t="s">
        <v>35</v>
      </c>
      <c r="C21" s="35">
        <f t="shared" ref="C21:L21" si="0">SUM(C9:C19)</f>
        <v>48</v>
      </c>
      <c r="D21" s="35">
        <f t="shared" si="0"/>
        <v>189631360</v>
      </c>
      <c r="E21" s="35">
        <f t="shared" si="0"/>
        <v>48</v>
      </c>
      <c r="F21" s="35">
        <f t="shared" si="0"/>
        <v>189631360</v>
      </c>
      <c r="G21" s="35">
        <f t="shared" si="0"/>
        <v>48</v>
      </c>
      <c r="H21" s="35">
        <f t="shared" si="0"/>
        <v>189631360</v>
      </c>
      <c r="I21" s="35">
        <f t="shared" si="0"/>
        <v>48</v>
      </c>
      <c r="J21" s="35">
        <f t="shared" si="0"/>
        <v>189631360</v>
      </c>
      <c r="K21" s="35">
        <f t="shared" si="0"/>
        <v>48</v>
      </c>
      <c r="L21" s="36">
        <f t="shared" si="0"/>
        <v>189631360</v>
      </c>
      <c r="M21" s="1"/>
      <c r="N21" s="37">
        <f>SUM(N9:N19)</f>
        <v>15802613.333333334</v>
      </c>
    </row>
    <row r="22" spans="2:14" s="20" customFormat="1">
      <c r="B22" s="1" t="s">
        <v>2</v>
      </c>
      <c r="C22" s="6"/>
      <c r="D22" s="38">
        <f>Proforma!D24</f>
        <v>189631360</v>
      </c>
      <c r="E22" s="1"/>
      <c r="F22" s="38">
        <f>Proforma!G24</f>
        <v>189631360</v>
      </c>
      <c r="G22" s="1"/>
      <c r="H22" s="38">
        <f>Proforma!J24</f>
        <v>189631360</v>
      </c>
      <c r="I22" s="1"/>
      <c r="J22" s="38">
        <f>Proforma!M24</f>
        <v>189631360</v>
      </c>
      <c r="K22" s="1"/>
      <c r="L22" s="38">
        <f>Proforma!P24</f>
        <v>189631360</v>
      </c>
      <c r="M22" s="1"/>
      <c r="N22" s="39">
        <f>D22/12</f>
        <v>15802613.333333334</v>
      </c>
    </row>
    <row r="23" spans="2:14" s="20" customFormat="1">
      <c r="B23" s="1"/>
      <c r="C23" s="6"/>
      <c r="D23" s="38"/>
      <c r="E23" s="1"/>
      <c r="F23" s="38"/>
      <c r="G23" s="1"/>
      <c r="H23" s="38"/>
      <c r="I23" s="1"/>
      <c r="J23" s="38"/>
      <c r="K23" s="1"/>
      <c r="L23" s="38"/>
      <c r="M23" s="1"/>
      <c r="N23" s="1"/>
    </row>
    <row r="24" spans="2:14" s="20" customFormat="1">
      <c r="B24" s="1"/>
      <c r="C24" s="6"/>
      <c r="D24" s="38"/>
      <c r="E24" s="1"/>
      <c r="F24" s="38"/>
      <c r="G24" s="1"/>
      <c r="H24" s="38"/>
      <c r="I24" s="1"/>
      <c r="J24" s="38"/>
      <c r="K24" s="1"/>
      <c r="L24" s="38"/>
      <c r="M24" s="1"/>
      <c r="N24" s="1"/>
    </row>
    <row r="25" spans="2:14" s="20" customFormat="1">
      <c r="B25" s="7" t="s">
        <v>267</v>
      </c>
      <c r="C25" s="8" t="s">
        <v>30</v>
      </c>
      <c r="D25" s="8"/>
      <c r="E25" s="9" t="s">
        <v>31</v>
      </c>
      <c r="F25" s="10"/>
      <c r="G25" s="9" t="s">
        <v>32</v>
      </c>
      <c r="H25" s="10"/>
      <c r="I25" s="9" t="s">
        <v>33</v>
      </c>
      <c r="J25" s="10"/>
      <c r="K25" s="9" t="s">
        <v>34</v>
      </c>
      <c r="L25" s="10"/>
      <c r="M25" s="1"/>
      <c r="N25" s="1"/>
    </row>
    <row r="26" spans="2:14" s="20" customFormat="1">
      <c r="B26" s="12"/>
      <c r="C26" s="13" t="s">
        <v>145</v>
      </c>
      <c r="D26" s="13" t="s">
        <v>146</v>
      </c>
      <c r="E26" s="13" t="s">
        <v>145</v>
      </c>
      <c r="F26" s="13" t="s">
        <v>146</v>
      </c>
      <c r="G26" s="13" t="s">
        <v>145</v>
      </c>
      <c r="H26" s="13" t="s">
        <v>146</v>
      </c>
      <c r="I26" s="13" t="s">
        <v>145</v>
      </c>
      <c r="J26" s="13" t="s">
        <v>146</v>
      </c>
      <c r="K26" s="13" t="s">
        <v>145</v>
      </c>
      <c r="L26" s="13" t="s">
        <v>146</v>
      </c>
      <c r="M26" s="1"/>
      <c r="N26" s="1"/>
    </row>
    <row r="27" spans="2:14" s="20" customFormat="1">
      <c r="B27" s="15"/>
      <c r="C27" s="16"/>
      <c r="D27" s="40"/>
      <c r="E27" s="17"/>
      <c r="F27" s="40"/>
      <c r="G27" s="17"/>
      <c r="H27" s="40"/>
      <c r="I27" s="17"/>
      <c r="J27" s="40"/>
      <c r="K27" s="17"/>
      <c r="L27" s="41"/>
      <c r="M27" s="1"/>
      <c r="N27" s="1"/>
    </row>
    <row r="28" spans="2:14" s="20" customFormat="1">
      <c r="B28" s="26" t="s">
        <v>270</v>
      </c>
      <c r="C28" s="27">
        <f t="shared" ref="C28:L28" si="1">C9</f>
        <v>14</v>
      </c>
      <c r="D28" s="27">
        <f t="shared" si="1"/>
        <v>55306560</v>
      </c>
      <c r="E28" s="27">
        <f t="shared" si="1"/>
        <v>14</v>
      </c>
      <c r="F28" s="27">
        <f t="shared" si="1"/>
        <v>55306560</v>
      </c>
      <c r="G28" s="27">
        <f t="shared" si="1"/>
        <v>14</v>
      </c>
      <c r="H28" s="27">
        <f t="shared" si="1"/>
        <v>55306560</v>
      </c>
      <c r="I28" s="27">
        <f t="shared" si="1"/>
        <v>14</v>
      </c>
      <c r="J28" s="27">
        <f t="shared" si="1"/>
        <v>55306560</v>
      </c>
      <c r="K28" s="27">
        <f t="shared" si="1"/>
        <v>14</v>
      </c>
      <c r="L28" s="42">
        <f t="shared" si="1"/>
        <v>55306560</v>
      </c>
      <c r="M28" s="1"/>
      <c r="N28" s="1"/>
    </row>
    <row r="29" spans="2:14" s="20" customFormat="1">
      <c r="B29" s="26" t="s">
        <v>307</v>
      </c>
      <c r="C29" s="27">
        <f t="shared" ref="C29:L29" si="2">C11</f>
        <v>33</v>
      </c>
      <c r="D29" s="27">
        <f t="shared" si="2"/>
        <v>124460800</v>
      </c>
      <c r="E29" s="27">
        <f t="shared" si="2"/>
        <v>33</v>
      </c>
      <c r="F29" s="27">
        <f t="shared" si="2"/>
        <v>124460800</v>
      </c>
      <c r="G29" s="27">
        <f t="shared" si="2"/>
        <v>33</v>
      </c>
      <c r="H29" s="27">
        <f t="shared" si="2"/>
        <v>124460800</v>
      </c>
      <c r="I29" s="27">
        <f t="shared" si="2"/>
        <v>33</v>
      </c>
      <c r="J29" s="27">
        <f t="shared" si="2"/>
        <v>124460800</v>
      </c>
      <c r="K29" s="27">
        <f t="shared" si="2"/>
        <v>33</v>
      </c>
      <c r="L29" s="42">
        <f t="shared" si="2"/>
        <v>124460800</v>
      </c>
      <c r="M29" s="1"/>
      <c r="N29" s="1"/>
    </row>
    <row r="30" spans="2:14" s="20" customFormat="1">
      <c r="B30" s="26" t="s">
        <v>297</v>
      </c>
      <c r="C30" s="27">
        <f t="shared" ref="C30:L30" si="3">C13</f>
        <v>0</v>
      </c>
      <c r="D30" s="27">
        <f t="shared" si="3"/>
        <v>0</v>
      </c>
      <c r="E30" s="27">
        <f t="shared" si="3"/>
        <v>0</v>
      </c>
      <c r="F30" s="27">
        <f t="shared" si="3"/>
        <v>0</v>
      </c>
      <c r="G30" s="27">
        <f t="shared" si="3"/>
        <v>0</v>
      </c>
      <c r="H30" s="27">
        <f t="shared" si="3"/>
        <v>0</v>
      </c>
      <c r="I30" s="27">
        <f t="shared" si="3"/>
        <v>0</v>
      </c>
      <c r="J30" s="27">
        <f t="shared" si="3"/>
        <v>0</v>
      </c>
      <c r="K30" s="27">
        <f t="shared" si="3"/>
        <v>0</v>
      </c>
      <c r="L30" s="42">
        <f t="shared" si="3"/>
        <v>0</v>
      </c>
      <c r="M30" s="1"/>
      <c r="N30" s="1"/>
    </row>
    <row r="31" spans="2:14" s="20" customFormat="1">
      <c r="B31" s="26" t="s">
        <v>262</v>
      </c>
      <c r="C31" s="27">
        <f t="shared" ref="C31:L31" si="4">C15+C17+C19</f>
        <v>1</v>
      </c>
      <c r="D31" s="27">
        <f t="shared" si="4"/>
        <v>9864000</v>
      </c>
      <c r="E31" s="27">
        <f t="shared" si="4"/>
        <v>1</v>
      </c>
      <c r="F31" s="27">
        <f t="shared" si="4"/>
        <v>9864000</v>
      </c>
      <c r="G31" s="27">
        <f t="shared" si="4"/>
        <v>1</v>
      </c>
      <c r="H31" s="27">
        <f t="shared" si="4"/>
        <v>9864000</v>
      </c>
      <c r="I31" s="27">
        <f t="shared" si="4"/>
        <v>1</v>
      </c>
      <c r="J31" s="27">
        <f t="shared" si="4"/>
        <v>9864000</v>
      </c>
      <c r="K31" s="27">
        <f t="shared" si="4"/>
        <v>1</v>
      </c>
      <c r="L31" s="42">
        <f t="shared" si="4"/>
        <v>9864000</v>
      </c>
      <c r="M31" s="1"/>
      <c r="N31" s="1"/>
    </row>
    <row r="32" spans="2:14" s="20" customFormat="1">
      <c r="B32" s="34" t="s">
        <v>35</v>
      </c>
      <c r="C32" s="35">
        <f t="shared" ref="C32:L32" si="5">SUM(C28:C31)</f>
        <v>48</v>
      </c>
      <c r="D32" s="35">
        <f t="shared" si="5"/>
        <v>189631360</v>
      </c>
      <c r="E32" s="35">
        <f t="shared" si="5"/>
        <v>48</v>
      </c>
      <c r="F32" s="35">
        <f t="shared" si="5"/>
        <v>189631360</v>
      </c>
      <c r="G32" s="35">
        <f t="shared" si="5"/>
        <v>48</v>
      </c>
      <c r="H32" s="35">
        <f t="shared" si="5"/>
        <v>189631360</v>
      </c>
      <c r="I32" s="35">
        <f t="shared" si="5"/>
        <v>48</v>
      </c>
      <c r="J32" s="35">
        <f t="shared" si="5"/>
        <v>189631360</v>
      </c>
      <c r="K32" s="35">
        <f t="shared" si="5"/>
        <v>48</v>
      </c>
      <c r="L32" s="36">
        <f t="shared" si="5"/>
        <v>189631360</v>
      </c>
      <c r="M32" s="1"/>
      <c r="N32" s="1"/>
    </row>
    <row r="33" spans="2:14" s="20" customFormat="1">
      <c r="B33" s="1"/>
      <c r="C33" s="6"/>
      <c r="D33" s="38"/>
      <c r="E33" s="1"/>
      <c r="F33" s="38"/>
      <c r="G33" s="1"/>
      <c r="H33" s="38"/>
      <c r="I33" s="1"/>
      <c r="J33" s="38"/>
      <c r="K33" s="1"/>
      <c r="L33" s="38"/>
      <c r="M33" s="1"/>
      <c r="N33" s="1"/>
    </row>
    <row r="34" spans="2:14" s="20" customFormat="1">
      <c r="B34" s="1"/>
      <c r="C34" s="6"/>
      <c r="D34" s="38"/>
      <c r="E34" s="1"/>
      <c r="F34" s="38"/>
      <c r="G34" s="1"/>
      <c r="H34" s="38"/>
      <c r="I34" s="1"/>
      <c r="J34" s="38"/>
      <c r="K34" s="1"/>
      <c r="L34" s="38"/>
      <c r="M34" s="1"/>
      <c r="N34" s="1"/>
    </row>
    <row r="35" spans="2:14" s="20" customFormat="1">
      <c r="B35" s="7" t="s">
        <v>271</v>
      </c>
      <c r="C35" s="8" t="s">
        <v>30</v>
      </c>
      <c r="D35" s="8"/>
      <c r="E35" s="9" t="s">
        <v>31</v>
      </c>
      <c r="F35" s="10"/>
      <c r="G35" s="9" t="s">
        <v>32</v>
      </c>
      <c r="H35" s="10"/>
      <c r="I35" s="9" t="s">
        <v>33</v>
      </c>
      <c r="J35" s="10"/>
      <c r="K35" s="9" t="s">
        <v>34</v>
      </c>
      <c r="L35" s="10"/>
      <c r="M35" s="1"/>
      <c r="N35" s="1"/>
    </row>
    <row r="36" spans="2:14" s="20" customFormat="1">
      <c r="B36" s="12"/>
      <c r="C36" s="43" t="s">
        <v>145</v>
      </c>
      <c r="D36" s="44"/>
      <c r="E36" s="43" t="s">
        <v>145</v>
      </c>
      <c r="F36" s="44"/>
      <c r="G36" s="43" t="s">
        <v>145</v>
      </c>
      <c r="H36" s="44"/>
      <c r="I36" s="43" t="s">
        <v>145</v>
      </c>
      <c r="J36" s="44"/>
      <c r="K36" s="43" t="s">
        <v>145</v>
      </c>
      <c r="L36" s="44"/>
      <c r="M36" s="1"/>
      <c r="N36" s="1"/>
    </row>
    <row r="37" spans="2:14" s="20" customFormat="1">
      <c r="B37" s="45"/>
      <c r="C37" s="16"/>
      <c r="D37" s="40"/>
      <c r="E37" s="17"/>
      <c r="F37" s="40"/>
      <c r="G37" s="17"/>
      <c r="H37" s="40"/>
      <c r="I37" s="17"/>
      <c r="J37" s="40"/>
      <c r="K37" s="17"/>
      <c r="L37" s="41"/>
      <c r="M37" s="1"/>
      <c r="N37" s="1"/>
    </row>
    <row r="38" spans="2:14" s="20" customFormat="1">
      <c r="B38" s="21" t="s">
        <v>19</v>
      </c>
      <c r="C38" s="27">
        <f>C39+C40</f>
        <v>14</v>
      </c>
      <c r="D38" s="28"/>
      <c r="E38" s="27">
        <f>E39+E40</f>
        <v>14</v>
      </c>
      <c r="F38" s="28"/>
      <c r="G38" s="27">
        <f>G39+G40</f>
        <v>14</v>
      </c>
      <c r="H38" s="28"/>
      <c r="I38" s="27">
        <f>I39+I40</f>
        <v>14</v>
      </c>
      <c r="J38" s="28"/>
      <c r="K38" s="27">
        <f>K39+K40</f>
        <v>14</v>
      </c>
      <c r="L38" s="46"/>
      <c r="M38" s="1"/>
      <c r="N38" s="1"/>
    </row>
    <row r="39" spans="2:14" s="20" customFormat="1">
      <c r="B39" s="21" t="s">
        <v>272</v>
      </c>
      <c r="C39" s="27">
        <f>Rooms!G207</f>
        <v>6</v>
      </c>
      <c r="D39" s="28"/>
      <c r="E39" s="27">
        <f>Rooms!I207</f>
        <v>6</v>
      </c>
      <c r="F39" s="28"/>
      <c r="G39" s="27">
        <f>Rooms!K207</f>
        <v>6</v>
      </c>
      <c r="H39" s="28"/>
      <c r="I39" s="27">
        <f>Rooms!M207</f>
        <v>6</v>
      </c>
      <c r="J39" s="28"/>
      <c r="K39" s="27">
        <f>Rooms!O207</f>
        <v>6</v>
      </c>
      <c r="L39" s="46"/>
      <c r="M39" s="1"/>
      <c r="N39" s="1"/>
    </row>
    <row r="40" spans="2:14" s="20" customFormat="1">
      <c r="B40" s="26" t="s">
        <v>273</v>
      </c>
      <c r="C40" s="27">
        <f>Rooms!G208</f>
        <v>8</v>
      </c>
      <c r="D40" s="28"/>
      <c r="E40" s="27">
        <f>Rooms!I208</f>
        <v>8</v>
      </c>
      <c r="F40" s="28"/>
      <c r="G40" s="27">
        <f>Rooms!K208</f>
        <v>8</v>
      </c>
      <c r="H40" s="28"/>
      <c r="I40" s="27">
        <f>Rooms!M208</f>
        <v>8</v>
      </c>
      <c r="J40" s="28"/>
      <c r="K40" s="27">
        <f>Rooms!O208</f>
        <v>8</v>
      </c>
      <c r="L40" s="46"/>
      <c r="M40" s="1"/>
      <c r="N40" s="1"/>
    </row>
    <row r="41" spans="2:14" s="20" customFormat="1">
      <c r="B41" s="26" t="s">
        <v>307</v>
      </c>
      <c r="C41" s="27">
        <f>C42+C43</f>
        <v>33</v>
      </c>
      <c r="D41" s="28"/>
      <c r="E41" s="27">
        <f>E42+E43</f>
        <v>33</v>
      </c>
      <c r="F41" s="28"/>
      <c r="G41" s="27">
        <f>G42+G43</f>
        <v>33</v>
      </c>
      <c r="H41" s="28"/>
      <c r="I41" s="27">
        <f>I42+I43</f>
        <v>33</v>
      </c>
      <c r="J41" s="28"/>
      <c r="K41" s="27">
        <f>K42+K43</f>
        <v>33</v>
      </c>
      <c r="L41" s="46"/>
      <c r="M41" s="1"/>
      <c r="N41" s="1"/>
    </row>
    <row r="42" spans="2:14" s="20" customFormat="1">
      <c r="B42" s="21" t="s">
        <v>272</v>
      </c>
      <c r="C42" s="27">
        <f>Restaurant!E191</f>
        <v>13</v>
      </c>
      <c r="D42" s="28"/>
      <c r="E42" s="27">
        <f>Restaurant!G191</f>
        <v>13</v>
      </c>
      <c r="F42" s="28"/>
      <c r="G42" s="27">
        <f>Restaurant!I191</f>
        <v>13</v>
      </c>
      <c r="H42" s="28"/>
      <c r="I42" s="27">
        <f>Restaurant!K191</f>
        <v>13</v>
      </c>
      <c r="J42" s="28"/>
      <c r="K42" s="27">
        <f>Restaurant!M191</f>
        <v>13</v>
      </c>
      <c r="L42" s="46"/>
      <c r="M42" s="1"/>
      <c r="N42" s="1"/>
    </row>
    <row r="43" spans="2:14" s="20" customFormat="1">
      <c r="B43" s="26" t="s">
        <v>273</v>
      </c>
      <c r="C43" s="27">
        <f>Restaurant!E192</f>
        <v>20</v>
      </c>
      <c r="D43" s="28"/>
      <c r="E43" s="27">
        <f>Restaurant!G192</f>
        <v>20</v>
      </c>
      <c r="F43" s="28"/>
      <c r="G43" s="27">
        <f>Restaurant!I192</f>
        <v>20</v>
      </c>
      <c r="H43" s="28"/>
      <c r="I43" s="27">
        <f>Restaurant!K192</f>
        <v>20</v>
      </c>
      <c r="J43" s="28"/>
      <c r="K43" s="27">
        <f>Restaurant!M192</f>
        <v>20</v>
      </c>
      <c r="L43" s="46"/>
      <c r="M43" s="1"/>
      <c r="N43" s="1"/>
    </row>
    <row r="44" spans="2:14" s="20" customFormat="1">
      <c r="B44" s="26" t="s">
        <v>62</v>
      </c>
      <c r="C44" s="27">
        <f>C45+C46</f>
        <v>0</v>
      </c>
      <c r="D44" s="28"/>
      <c r="E44" s="27">
        <f>E45+E46</f>
        <v>0</v>
      </c>
      <c r="F44" s="28"/>
      <c r="G44" s="27">
        <f>G45+G46</f>
        <v>0</v>
      </c>
      <c r="H44" s="28"/>
      <c r="I44" s="27">
        <f>I45+I46</f>
        <v>0</v>
      </c>
      <c r="J44" s="28"/>
      <c r="K44" s="27">
        <f>K45+K46</f>
        <v>0</v>
      </c>
      <c r="L44" s="46"/>
      <c r="M44" s="1"/>
      <c r="N44" s="1"/>
    </row>
    <row r="45" spans="2:14" s="20" customFormat="1">
      <c r="B45" s="21" t="s">
        <v>272</v>
      </c>
      <c r="C45" s="27">
        <f>MOD!E122</f>
        <v>0</v>
      </c>
      <c r="D45" s="28"/>
      <c r="E45" s="27">
        <f>MOD!G122</f>
        <v>0</v>
      </c>
      <c r="F45" s="28"/>
      <c r="G45" s="27">
        <f>MOD!I122</f>
        <v>0</v>
      </c>
      <c r="H45" s="28"/>
      <c r="I45" s="27">
        <f>MOD!K122</f>
        <v>0</v>
      </c>
      <c r="J45" s="28"/>
      <c r="K45" s="27">
        <f>MOD!M122</f>
        <v>0</v>
      </c>
      <c r="L45" s="46"/>
      <c r="M45" s="1"/>
      <c r="N45" s="1"/>
    </row>
    <row r="46" spans="2:14" s="20" customFormat="1">
      <c r="B46" s="26" t="s">
        <v>273</v>
      </c>
      <c r="C46" s="27">
        <f>MOD!E123</f>
        <v>0</v>
      </c>
      <c r="D46" s="28"/>
      <c r="E46" s="27">
        <f>MOD!G123</f>
        <v>0</v>
      </c>
      <c r="F46" s="28"/>
      <c r="G46" s="27">
        <f>MOD!I123</f>
        <v>0</v>
      </c>
      <c r="H46" s="28"/>
      <c r="I46" s="27">
        <f>MOD!K123</f>
        <v>0</v>
      </c>
      <c r="J46" s="28"/>
      <c r="K46" s="27">
        <f>MOD!M123</f>
        <v>0</v>
      </c>
      <c r="L46" s="46"/>
      <c r="M46" s="1"/>
      <c r="N46" s="1"/>
    </row>
    <row r="47" spans="2:14" s="20" customFormat="1">
      <c r="B47" s="26" t="s">
        <v>274</v>
      </c>
      <c r="C47" s="27">
        <f>C48+C49</f>
        <v>1</v>
      </c>
      <c r="D47" s="28"/>
      <c r="E47" s="27">
        <f>E48+E49</f>
        <v>1</v>
      </c>
      <c r="F47" s="28"/>
      <c r="G47" s="27">
        <f>G48+G49</f>
        <v>1</v>
      </c>
      <c r="H47" s="28"/>
      <c r="I47" s="27">
        <f>I48+I49</f>
        <v>1</v>
      </c>
      <c r="J47" s="28"/>
      <c r="K47" s="27">
        <f>K48+K49</f>
        <v>1</v>
      </c>
      <c r="L47" s="46"/>
      <c r="M47" s="1"/>
      <c r="N47" s="1"/>
    </row>
    <row r="48" spans="2:14" s="20" customFormat="1">
      <c r="B48" s="21" t="s">
        <v>272</v>
      </c>
      <c r="C48" s="27">
        <f>'Undist Expense'!E187</f>
        <v>1</v>
      </c>
      <c r="D48" s="28"/>
      <c r="E48" s="27">
        <f>'Undist Expense'!G187</f>
        <v>1</v>
      </c>
      <c r="F48" s="28"/>
      <c r="G48" s="27">
        <f>'Undist Expense'!I187</f>
        <v>1</v>
      </c>
      <c r="H48" s="28"/>
      <c r="I48" s="27">
        <f>'Undist Expense'!K187</f>
        <v>1</v>
      </c>
      <c r="J48" s="28"/>
      <c r="K48" s="27">
        <f>'Undist Expense'!M187</f>
        <v>1</v>
      </c>
      <c r="L48" s="46"/>
      <c r="M48" s="1"/>
      <c r="N48" s="1"/>
    </row>
    <row r="49" spans="2:14" s="20" customFormat="1">
      <c r="B49" s="26" t="s">
        <v>273</v>
      </c>
      <c r="C49" s="27">
        <f>'Undist Expense'!E188</f>
        <v>0</v>
      </c>
      <c r="D49" s="28"/>
      <c r="E49" s="27">
        <f>'Undist Expense'!G188</f>
        <v>0</v>
      </c>
      <c r="F49" s="28"/>
      <c r="G49" s="27">
        <f>'Undist Expense'!I188</f>
        <v>0</v>
      </c>
      <c r="H49" s="28"/>
      <c r="I49" s="27">
        <f>'Undist Expense'!K188</f>
        <v>0</v>
      </c>
      <c r="J49" s="28"/>
      <c r="K49" s="27">
        <f>'Undist Expense'!M188</f>
        <v>0</v>
      </c>
      <c r="L49" s="46"/>
      <c r="M49" s="1"/>
      <c r="N49" s="1"/>
    </row>
    <row r="50" spans="2:14" s="20" customFormat="1">
      <c r="B50" s="47" t="s">
        <v>35</v>
      </c>
      <c r="C50" s="48">
        <f>C51+C52</f>
        <v>48</v>
      </c>
      <c r="D50" s="49">
        <f>C38+C41+C44+C47</f>
        <v>48</v>
      </c>
      <c r="E50" s="48">
        <f>E51+E52</f>
        <v>48</v>
      </c>
      <c r="F50" s="49">
        <f>E38+E41+E44+E47</f>
        <v>48</v>
      </c>
      <c r="G50" s="48">
        <f>G51+G52</f>
        <v>48</v>
      </c>
      <c r="H50" s="49">
        <f>G38+G41+G44+G47</f>
        <v>48</v>
      </c>
      <c r="I50" s="48">
        <f>I51+I52</f>
        <v>48</v>
      </c>
      <c r="J50" s="49">
        <f>I38+I41+I44+I47</f>
        <v>48</v>
      </c>
      <c r="K50" s="48">
        <f>K51+K52</f>
        <v>48</v>
      </c>
      <c r="L50" s="50">
        <f>K38+K41+K44+K47</f>
        <v>48</v>
      </c>
      <c r="M50" s="1"/>
      <c r="N50" s="1"/>
    </row>
    <row r="51" spans="2:14" s="20" customFormat="1">
      <c r="B51" s="51" t="s">
        <v>272</v>
      </c>
      <c r="C51" s="48">
        <f>C39+C42+C48+C45</f>
        <v>20</v>
      </c>
      <c r="D51" s="49"/>
      <c r="E51" s="48">
        <f>E39+E42+E48+E45</f>
        <v>20</v>
      </c>
      <c r="F51" s="49"/>
      <c r="G51" s="48">
        <f>G39+G42+G48+G45</f>
        <v>20</v>
      </c>
      <c r="H51" s="49"/>
      <c r="I51" s="48">
        <f>I39+I42+I48+I45</f>
        <v>20</v>
      </c>
      <c r="J51" s="49"/>
      <c r="K51" s="48">
        <f>K39+K42+K48+K45</f>
        <v>20</v>
      </c>
      <c r="L51" s="52"/>
      <c r="M51" s="1"/>
      <c r="N51" s="1"/>
    </row>
    <row r="52" spans="2:14" s="20" customFormat="1">
      <c r="B52" s="34" t="s">
        <v>273</v>
      </c>
      <c r="C52" s="35">
        <f>C40+C43+C49+C46</f>
        <v>28</v>
      </c>
      <c r="D52" s="53"/>
      <c r="E52" s="35">
        <f>E40+E43+E49+E46</f>
        <v>28</v>
      </c>
      <c r="F52" s="53"/>
      <c r="G52" s="35">
        <f>G40+G43+G49+G46</f>
        <v>28</v>
      </c>
      <c r="H52" s="53"/>
      <c r="I52" s="35">
        <f>I40+I43+I49+I46</f>
        <v>28</v>
      </c>
      <c r="J52" s="53"/>
      <c r="K52" s="35">
        <f>K40+K43+K49+K46</f>
        <v>28</v>
      </c>
      <c r="L52" s="54"/>
      <c r="M52" s="1"/>
      <c r="N52" s="1"/>
    </row>
    <row r="53" spans="2:14" s="20" customFormat="1">
      <c r="B53" s="1"/>
      <c r="C53" s="6"/>
      <c r="D53" s="38"/>
      <c r="E53" s="1"/>
      <c r="F53" s="38"/>
      <c r="G53" s="1"/>
      <c r="H53" s="38"/>
      <c r="I53" s="1"/>
      <c r="J53" s="38"/>
      <c r="K53" s="1"/>
      <c r="L53" s="38"/>
      <c r="M53" s="1"/>
      <c r="N53" s="1"/>
    </row>
    <row r="54" spans="2:14" s="20" customFormat="1">
      <c r="B54" s="1"/>
      <c r="C54" s="6"/>
      <c r="D54" s="38"/>
      <c r="E54" s="1"/>
      <c r="F54" s="38"/>
      <c r="G54" s="1"/>
      <c r="H54" s="38"/>
      <c r="I54" s="1"/>
      <c r="J54" s="38"/>
      <c r="K54" s="1"/>
      <c r="L54" s="38"/>
      <c r="M54" s="1"/>
      <c r="N54" s="1"/>
    </row>
    <row r="60" spans="2:14" s="1" customFormat="1">
      <c r="C60" s="6"/>
    </row>
  </sheetData>
  <mergeCells count="20">
    <mergeCell ref="C35:D35"/>
    <mergeCell ref="E35:F35"/>
    <mergeCell ref="G35:H35"/>
    <mergeCell ref="I35:J35"/>
    <mergeCell ref="K35:L35"/>
    <mergeCell ref="C36:D36"/>
    <mergeCell ref="E36:F36"/>
    <mergeCell ref="G36:H36"/>
    <mergeCell ref="I36:J36"/>
    <mergeCell ref="K36:L36"/>
    <mergeCell ref="C6:D6"/>
    <mergeCell ref="E6:F6"/>
    <mergeCell ref="G6:H6"/>
    <mergeCell ref="I6:J6"/>
    <mergeCell ref="K6:L6"/>
    <mergeCell ref="C25:D25"/>
    <mergeCell ref="E25:F25"/>
    <mergeCell ref="G25:H25"/>
    <mergeCell ref="I25:J25"/>
    <mergeCell ref="K25:L25"/>
  </mergeCells>
  <phoneticPr fontId="23"/>
  <pageMargins left="0.7" right="0.7" top="0.75" bottom="0.75" header="0.3" footer="0.3"/>
  <pageSetup paperSize="8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Proforma</vt:lpstr>
      <vt:lpstr>Rooms</vt:lpstr>
      <vt:lpstr>Room Types</vt:lpstr>
      <vt:lpstr>Restaurant</vt:lpstr>
      <vt:lpstr>MOD</vt:lpstr>
      <vt:lpstr>Undist Expense</vt:lpstr>
      <vt:lpstr>Staffing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Iwai, Suo</cp:lastModifiedBy>
  <cp:revision/>
  <cp:lastPrinted>2024-10-02T00:50:57Z</cp:lastPrinted>
  <dcterms:created xsi:type="dcterms:W3CDTF">2019-01-15T08:42:09Z</dcterms:created>
  <dcterms:modified xsi:type="dcterms:W3CDTF">2026-05-08T07:19:44Z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_List" linkTarget="Prop_Class_List">
    <vt:r8>0</vt:r8>
  </property>
  <property fmtid="{D5CDD505-2E9C-101B-9397-08002B2CF9AE}" pid="3" name="Class_Value" linkTarget="Prop_Class_Value">
    <vt:r8>0</vt:r8>
  </property>
</Properties>
</file>