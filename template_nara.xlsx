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000" windowWidth="27640" windowHeight="157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_(* #,##0_);_(* \(#,##0\);_(* &quot;-&quot;??_);_(@_)"/>
    <numFmt numFmtId="166" formatCode="#,##0_ "/>
    <numFmt numFmtId="167" formatCode="#,##0.0_);[Red]\(#,##0.0\)"/>
    <numFmt numFmtId="168" formatCode="&quot;$&quot;#,##0_);[Red]\(&quot;$&quot;#,##0\)"/>
  </numFmts>
  <fonts count="23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color rgb="FFFF0000"/>
      <sz val="10"/>
    </font>
    <font>
      <name val="Arial"/>
      <family val="2"/>
      <color theme="4" tint="-0.249977111117893"/>
      <sz val="10"/>
    </font>
    <font>
      <name val="Arial"/>
      <family val="2"/>
      <b val="1"/>
      <color theme="4" tint="-0.249977111117893"/>
      <sz val="10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theme="1"/>
      <sz val="10"/>
      <u val="single"/>
    </font>
    <font>
      <name val="Arial"/>
      <family val="2"/>
      <i val="1"/>
      <color theme="4"/>
      <sz val="10"/>
    </font>
    <font>
      <name val="Arial"/>
      <family val="2"/>
      <color theme="4"/>
      <sz val="10"/>
    </font>
    <font>
      <name val="Arial"/>
      <family val="2"/>
      <i val="1"/>
      <color theme="1"/>
      <sz val="10"/>
    </font>
    <font>
      <name val="Calibri"/>
      <charset val="128"/>
      <family val="2"/>
      <color theme="1"/>
      <sz val="11"/>
      <scheme val="minor"/>
    </font>
    <font>
      <name val="ＭＳ ゴシック"/>
      <charset val="128"/>
      <family val="3"/>
      <sz val="10"/>
    </font>
    <font>
      <name val="ＭＳ ゴシック"/>
      <charset val="128"/>
      <family val="3"/>
      <color theme="1"/>
      <sz val="10"/>
    </font>
    <font>
      <name val="Arial"/>
      <family val="2"/>
      <color theme="9" tint="-0.249977111117893"/>
      <sz val="10"/>
    </font>
    <font>
      <name val="Arial"/>
      <family val="2"/>
      <b val="1"/>
      <color theme="4"/>
      <sz val="10"/>
    </font>
    <font>
      <name val="Arial"/>
      <family val="2"/>
      <color theme="9"/>
      <sz val="10"/>
    </font>
    <font>
      <name val="Arial"/>
      <family val="2"/>
      <i val="1"/>
      <sz val="10"/>
    </font>
    <font>
      <name val="Calibri"/>
      <charset val="128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1" fillId="0" borderId="0"/>
    <xf numFmtId="43" fontId="1" fillId="0" borderId="0"/>
    <xf numFmtId="44" fontId="1" fillId="0" borderId="0"/>
    <xf numFmtId="9" fontId="1" fillId="0" borderId="0"/>
    <xf numFmtId="0" fontId="3" fillId="0" borderId="0"/>
    <xf numFmtId="41" fontId="3" fillId="0" borderId="0"/>
    <xf numFmtId="9" fontId="3" fillId="0" borderId="0"/>
    <xf numFmtId="43" fontId="3" fillId="0" borderId="0"/>
    <xf numFmtId="0" fontId="5" fillId="0" borderId="0"/>
    <xf numFmtId="0" fontId="15" fillId="0" borderId="0" applyAlignment="1">
      <alignment vertical="center"/>
    </xf>
    <xf numFmtId="38" fontId="22" fillId="0" borderId="0" applyAlignment="1">
      <alignment vertical="center"/>
    </xf>
    <xf numFmtId="9" fontId="3" fillId="0" borderId="0" applyAlignment="1">
      <alignment vertical="center"/>
    </xf>
  </cellStyleXfs>
  <cellXfs count="22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pivotButton="0" quotePrefix="0" xfId="4"/>
    <xf numFmtId="41" fontId="5" fillId="0" borderId="0" pivotButton="0" quotePrefix="0" xfId="5"/>
    <xf numFmtId="41" fontId="4" fillId="0" borderId="0" pivotButton="0" quotePrefix="0" xfId="5"/>
    <xf numFmtId="0" fontId="4" fillId="0" borderId="0" applyAlignment="1" pivotButton="0" quotePrefix="0" xfId="4">
      <alignment horizontal="right"/>
    </xf>
    <xf numFmtId="164" fontId="6" fillId="0" borderId="0" pivotButton="0" quotePrefix="0" xfId="4"/>
    <xf numFmtId="164" fontId="4" fillId="0" borderId="0" pivotButton="0" quotePrefix="0" xfId="6"/>
    <xf numFmtId="164" fontId="5" fillId="0" borderId="0" pivotButton="0" quotePrefix="0" xfId="4"/>
    <xf numFmtId="0" fontId="2" fillId="0" borderId="0" pivotButton="0" quotePrefix="0" xfId="4"/>
    <xf numFmtId="0" fontId="5" fillId="0" borderId="0" pivotButton="0" quotePrefix="0" xfId="4"/>
    <xf numFmtId="0" fontId="5" fillId="0" borderId="0" applyAlignment="1" pivotButton="0" quotePrefix="0" xfId="4">
      <alignment horizontal="center"/>
    </xf>
    <xf numFmtId="0" fontId="7" fillId="0" borderId="0" pivotButton="0" quotePrefix="0" xfId="4"/>
    <xf numFmtId="0" fontId="7" fillId="0" borderId="0" applyAlignment="1" pivotButton="0" quotePrefix="0" xfId="4">
      <alignment horizontal="center"/>
    </xf>
    <xf numFmtId="0" fontId="7" fillId="0" borderId="0" applyAlignment="1" pivotButton="0" quotePrefix="0" xfId="4">
      <alignment horizontal="right"/>
    </xf>
    <xf numFmtId="0" fontId="8" fillId="0" borderId="0" applyAlignment="1" pivotButton="0" quotePrefix="0" xfId="4">
      <alignment horizontal="center"/>
    </xf>
    <xf numFmtId="0" fontId="9" fillId="0" borderId="0" applyAlignment="1" pivotButton="0" quotePrefix="0" xfId="4">
      <alignment horizontal="center"/>
    </xf>
    <xf numFmtId="0" fontId="9" fillId="2" borderId="1" applyAlignment="1" pivotButton="0" quotePrefix="0" xfId="4">
      <alignment horizontal="center"/>
    </xf>
    <xf numFmtId="0" fontId="8" fillId="2" borderId="2" applyAlignment="1" pivotButton="0" quotePrefix="0" xfId="4">
      <alignment horizontal="center"/>
    </xf>
    <xf numFmtId="0" fontId="7" fillId="2" borderId="2" pivotButton="0" quotePrefix="0" xfId="4"/>
    <xf numFmtId="0" fontId="4" fillId="2" borderId="3" pivotButton="0" quotePrefix="0" xfId="4"/>
    <xf numFmtId="0" fontId="9" fillId="2" borderId="4" applyAlignment="1" pivotButton="0" quotePrefix="0" xfId="4">
      <alignment horizontal="center"/>
    </xf>
    <xf numFmtId="0" fontId="8" fillId="2" borderId="5" applyAlignment="1" pivotButton="0" quotePrefix="0" xfId="4">
      <alignment horizontal="center"/>
    </xf>
    <xf numFmtId="0" fontId="7" fillId="2" borderId="5" pivotButton="0" quotePrefix="0" xfId="4"/>
    <xf numFmtId="0" fontId="4" fillId="2" borderId="6" pivotButton="0" quotePrefix="0" xfId="4"/>
    <xf numFmtId="0" fontId="10" fillId="0" borderId="0" pivotButton="0" quotePrefix="0" xfId="4"/>
    <xf numFmtId="0" fontId="2" fillId="0" borderId="7" pivotButton="0" quotePrefix="0" xfId="4"/>
    <xf numFmtId="0" fontId="9" fillId="0" borderId="1" applyAlignment="1" pivotButton="0" quotePrefix="0" xfId="4">
      <alignment horizontal="center"/>
    </xf>
    <xf numFmtId="0" fontId="8" fillId="0" borderId="2" applyAlignment="1" pivotButton="0" quotePrefix="0" xfId="4">
      <alignment horizontal="center"/>
    </xf>
    <xf numFmtId="0" fontId="11" fillId="0" borderId="2" applyAlignment="1" pivotButton="0" quotePrefix="0" xfId="4">
      <alignment horizontal="center"/>
    </xf>
    <xf numFmtId="43" fontId="4" fillId="0" borderId="2" pivotButton="0" quotePrefix="0" xfId="7"/>
    <xf numFmtId="0" fontId="4" fillId="0" borderId="3" pivotButton="0" quotePrefix="0" xfId="4"/>
    <xf numFmtId="0" fontId="4" fillId="0" borderId="8" pivotButton="0" quotePrefix="0" xfId="4"/>
    <xf numFmtId="165" fontId="5" fillId="0" borderId="9" pivotButton="0" quotePrefix="0" xfId="7"/>
    <xf numFmtId="165" fontId="4" fillId="0" borderId="0" pivotButton="0" quotePrefix="0" xfId="7"/>
    <xf numFmtId="165" fontId="4" fillId="0" borderId="0" pivotButton="0" quotePrefix="0" xfId="4"/>
    <xf numFmtId="0" fontId="4" fillId="0" borderId="10" pivotButton="0" quotePrefix="0" xfId="4"/>
    <xf numFmtId="165" fontId="4" fillId="0" borderId="0" pivotButton="0" quotePrefix="0" xfId="7"/>
    <xf numFmtId="165" fontId="5" fillId="0" borderId="0" pivotButton="0" quotePrefix="0" xfId="4"/>
    <xf numFmtId="0" fontId="4" fillId="2" borderId="8" pivotButton="0" quotePrefix="0" xfId="4"/>
    <xf numFmtId="164" fontId="5" fillId="2" borderId="9" pivotButton="0" quotePrefix="0" xfId="6"/>
    <xf numFmtId="164" fontId="4" fillId="2" borderId="0" pivotButton="0" quotePrefix="0" xfId="6"/>
    <xf numFmtId="164" fontId="12" fillId="2" borderId="11" pivotButton="0" quotePrefix="0" xfId="4"/>
    <xf numFmtId="164" fontId="5" fillId="2" borderId="0" pivotButton="0" quotePrefix="0" xfId="4"/>
    <xf numFmtId="0" fontId="4" fillId="2" borderId="10" pivotButton="0" quotePrefix="0" xfId="4"/>
    <xf numFmtId="165" fontId="5" fillId="2" borderId="9" pivotButton="0" quotePrefix="0" xfId="7"/>
    <xf numFmtId="165" fontId="4" fillId="2" borderId="0" pivotButton="0" quotePrefix="0" xfId="7"/>
    <xf numFmtId="165" fontId="5" fillId="2" borderId="0" pivotButton="0" quotePrefix="0" xfId="7"/>
    <xf numFmtId="0" fontId="4" fillId="2" borderId="0" pivotButton="0" quotePrefix="0" xfId="4"/>
    <xf numFmtId="164" fontId="13" fillId="2" borderId="0" pivotButton="0" quotePrefix="0" xfId="4"/>
    <xf numFmtId="43" fontId="4" fillId="0" borderId="0" pivotButton="0" quotePrefix="0" xfId="7"/>
    <xf numFmtId="164" fontId="14" fillId="0" borderId="11" pivotButton="0" quotePrefix="0" xfId="6"/>
    <xf numFmtId="0" fontId="4" fillId="0" borderId="12" pivotButton="0" quotePrefix="0" xfId="4"/>
    <xf numFmtId="43" fontId="5" fillId="0" borderId="4" pivotButton="0" quotePrefix="0" xfId="7"/>
    <xf numFmtId="43" fontId="4" fillId="0" borderId="5" pivotButton="0" quotePrefix="0" xfId="7"/>
    <xf numFmtId="43" fontId="4" fillId="0" borderId="5" pivotButton="0" quotePrefix="0" xfId="4"/>
    <xf numFmtId="43" fontId="5" fillId="0" borderId="5" pivotButton="0" quotePrefix="0" xfId="7"/>
    <xf numFmtId="43" fontId="13" fillId="0" borderId="5" pivotButton="0" quotePrefix="0" xfId="7"/>
    <xf numFmtId="43" fontId="13" fillId="0" borderId="5" pivotButton="0" quotePrefix="0" xfId="4"/>
    <xf numFmtId="0" fontId="4" fillId="0" borderId="6" pivotButton="0" quotePrefix="0" xfId="4"/>
    <xf numFmtId="43" fontId="5" fillId="0" borderId="0" pivotButton="0" quotePrefix="0" xfId="7"/>
    <xf numFmtId="43" fontId="4" fillId="0" borderId="0" pivotButton="0" quotePrefix="0" xfId="4"/>
    <xf numFmtId="43" fontId="13" fillId="0" borderId="0" pivotButton="0" quotePrefix="0" xfId="7"/>
    <xf numFmtId="43" fontId="13" fillId="0" borderId="0" pivotButton="0" quotePrefix="0" xfId="4"/>
    <xf numFmtId="0" fontId="13" fillId="0" borderId="0" pivotButton="0" quotePrefix="0" xfId="0"/>
    <xf numFmtId="164" fontId="4" fillId="0" borderId="0" pivotButton="0" quotePrefix="0" xfId="3"/>
    <xf numFmtId="0" fontId="4" fillId="0" borderId="0" pivotButton="0" quotePrefix="0" xfId="0"/>
    <xf numFmtId="0" fontId="4" fillId="0" borderId="7" pivotButton="0" quotePrefix="0" xfId="4"/>
    <xf numFmtId="165" fontId="5" fillId="0" borderId="1" pivotButton="0" quotePrefix="0" xfId="7"/>
    <xf numFmtId="165" fontId="4" fillId="0" borderId="2" pivotButton="0" quotePrefix="0" xfId="7"/>
    <xf numFmtId="164" fontId="13" fillId="0" borderId="2" pivotButton="0" quotePrefix="0" xfId="4"/>
    <xf numFmtId="165" fontId="5" fillId="0" borderId="2" pivotButton="0" quotePrefix="0" xfId="7"/>
    <xf numFmtId="0" fontId="2" fillId="0" borderId="1" pivotButton="0" quotePrefix="0" xfId="0"/>
    <xf numFmtId="0" fontId="11" fillId="0" borderId="2" applyAlignment="1" pivotButton="0" quotePrefix="0" xfId="0">
      <alignment horizontal="center"/>
    </xf>
    <xf numFmtId="165" fontId="11" fillId="0" borderId="2" applyAlignment="1" pivotButton="0" quotePrefix="0" xfId="1">
      <alignment horizontal="center"/>
    </xf>
    <xf numFmtId="0" fontId="4" fillId="0" borderId="2" pivotButton="0" quotePrefix="0" xfId="0"/>
    <xf numFmtId="0" fontId="4" fillId="0" borderId="3" pivotButton="0" quotePrefix="0" xfId="0"/>
    <xf numFmtId="164" fontId="13" fillId="0" borderId="0" pivotButton="0" quotePrefix="0" xfId="4"/>
    <xf numFmtId="165" fontId="5" fillId="0" borderId="0" pivotButton="0" quotePrefix="0" xfId="7"/>
    <xf numFmtId="166" fontId="5" fillId="0" borderId="9" applyAlignment="1" pivotButton="0" quotePrefix="0" xfId="8">
      <alignment vertical="center"/>
    </xf>
    <xf numFmtId="165" fontId="5" fillId="0" borderId="0" pivotButton="0" quotePrefix="0" xfId="1"/>
    <xf numFmtId="165" fontId="4" fillId="0" borderId="0" pivotButton="0" quotePrefix="0" xfId="1"/>
    <xf numFmtId="0" fontId="4" fillId="0" borderId="10" pivotButton="0" quotePrefix="0" xfId="0"/>
    <xf numFmtId="165" fontId="5" fillId="0" borderId="4" pivotButton="0" quotePrefix="0" xfId="7"/>
    <xf numFmtId="164" fontId="4" fillId="0" borderId="5" pivotButton="0" quotePrefix="0" xfId="6"/>
    <xf numFmtId="164" fontId="13" fillId="0" borderId="5" pivotButton="0" quotePrefix="0" xfId="4"/>
    <xf numFmtId="165" fontId="5" fillId="0" borderId="5" pivotButton="0" quotePrefix="0" xfId="7"/>
    <xf numFmtId="164" fontId="4" fillId="0" borderId="6" pivotButton="0" quotePrefix="0" xfId="6"/>
    <xf numFmtId="166" fontId="4" fillId="0" borderId="9" applyAlignment="1" pivotButton="0" quotePrefix="0" xfId="9">
      <alignment vertical="center"/>
    </xf>
    <xf numFmtId="165" fontId="5" fillId="0" borderId="0" pivotButton="0" quotePrefix="0" xfId="7"/>
    <xf numFmtId="0" fontId="5" fillId="0" borderId="9" applyAlignment="1" pivotButton="0" quotePrefix="0" xfId="8">
      <alignment vertical="center"/>
    </xf>
    <xf numFmtId="0" fontId="9" fillId="0" borderId="7" pivotButton="0" quotePrefix="0" xfId="4"/>
    <xf numFmtId="0" fontId="5" fillId="0" borderId="1" pivotButton="0" quotePrefix="0" xfId="4"/>
    <xf numFmtId="0" fontId="4" fillId="0" borderId="2" pivotButton="0" quotePrefix="0" xfId="4"/>
    <xf numFmtId="0" fontId="11" fillId="0" borderId="3" applyAlignment="1" pivotButton="0" quotePrefix="0" xfId="4">
      <alignment horizontal="center"/>
    </xf>
    <xf numFmtId="38" fontId="5" fillId="0" borderId="9" pivotButton="0" quotePrefix="0" xfId="1"/>
    <xf numFmtId="164" fontId="4" fillId="0" borderId="0" pivotButton="0" quotePrefix="0" xfId="6"/>
    <xf numFmtId="38" fontId="4" fillId="0" borderId="0" pivotButton="0" quotePrefix="0" xfId="1"/>
    <xf numFmtId="164" fontId="4" fillId="0" borderId="10" pivotButton="0" quotePrefix="0" xfId="6"/>
    <xf numFmtId="0" fontId="4" fillId="0" borderId="9" applyAlignment="1" pivotButton="0" quotePrefix="0" xfId="9">
      <alignment vertical="center"/>
    </xf>
    <xf numFmtId="0" fontId="4" fillId="0" borderId="8" applyAlignment="1" pivotButton="0" quotePrefix="0" xfId="4">
      <alignment vertical="center"/>
    </xf>
    <xf numFmtId="38" fontId="5" fillId="0" borderId="9" pivotButton="0" quotePrefix="0" xfId="1"/>
    <xf numFmtId="164" fontId="13" fillId="3" borderId="0" pivotButton="0" quotePrefix="0" xfId="4"/>
    <xf numFmtId="0" fontId="13" fillId="0" borderId="11" pivotButton="0" quotePrefix="0" xfId="0"/>
    <xf numFmtId="0" fontId="2" fillId="0" borderId="12" applyAlignment="1" pivotButton="0" quotePrefix="0" xfId="4">
      <alignment vertical="center"/>
    </xf>
    <xf numFmtId="38" fontId="9" fillId="0" borderId="4" applyAlignment="1" pivotButton="0" quotePrefix="0" xfId="1">
      <alignment vertical="center"/>
    </xf>
    <xf numFmtId="164" fontId="2" fillId="0" borderId="5" applyAlignment="1" pivotButton="0" quotePrefix="0" xfId="3">
      <alignment vertical="center"/>
    </xf>
    <xf numFmtId="0" fontId="2" fillId="0" borderId="5" pivotButton="0" quotePrefix="0" xfId="4"/>
    <xf numFmtId="38" fontId="2" fillId="0" borderId="5" applyAlignment="1" pivotButton="0" quotePrefix="0" xfId="1">
      <alignment vertical="center"/>
    </xf>
    <xf numFmtId="164" fontId="2" fillId="0" borderId="6" applyAlignment="1" pivotButton="0" quotePrefix="0" xfId="3">
      <alignment vertical="center"/>
    </xf>
    <xf numFmtId="0" fontId="2" fillId="0" borderId="0" applyAlignment="1" pivotButton="0" quotePrefix="0" xfId="4">
      <alignment vertical="center"/>
    </xf>
    <xf numFmtId="38" fontId="5" fillId="0" borderId="0" applyAlignment="1" pivotButton="0" quotePrefix="0" xfId="1">
      <alignment vertical="center"/>
    </xf>
    <xf numFmtId="0" fontId="4" fillId="0" borderId="0" applyAlignment="1" pivotButton="0" quotePrefix="0" xfId="0">
      <alignment vertical="center"/>
    </xf>
    <xf numFmtId="38" fontId="2" fillId="0" borderId="0" pivotButton="0" quotePrefix="0" xfId="1"/>
    <xf numFmtId="165" fontId="2" fillId="0" borderId="0" pivotButton="0" quotePrefix="0" xfId="4"/>
    <xf numFmtId="0" fontId="4" fillId="0" borderId="9" pivotButton="0" quotePrefix="0" xfId="4"/>
    <xf numFmtId="0" fontId="2" fillId="0" borderId="7" applyAlignment="1" pivotButton="0" quotePrefix="0" xfId="4">
      <alignment vertical="center"/>
    </xf>
    <xf numFmtId="38" fontId="5" fillId="0" borderId="1" pivotButton="0" quotePrefix="0" xfId="1"/>
    <xf numFmtId="165" fontId="4" fillId="0" borderId="2" pivotButton="0" quotePrefix="0" xfId="4"/>
    <xf numFmtId="38" fontId="4" fillId="0" borderId="2" pivotButton="0" quotePrefix="0" xfId="1"/>
    <xf numFmtId="166" fontId="2" fillId="0" borderId="4" applyAlignment="1" pivotButton="0" quotePrefix="0" xfId="9">
      <alignment vertical="center"/>
    </xf>
    <xf numFmtId="165" fontId="9" fillId="0" borderId="5" pivotButton="0" quotePrefix="0" xfId="1"/>
    <xf numFmtId="165" fontId="2" fillId="0" borderId="5" pivotButton="0" quotePrefix="0" xfId="1"/>
    <xf numFmtId="0" fontId="4" fillId="0" borderId="5" pivotButton="0" quotePrefix="0" xfId="4"/>
    <xf numFmtId="164" fontId="4" fillId="0" borderId="0" pivotButton="0" quotePrefix="0" xfId="6"/>
    <xf numFmtId="164" fontId="4" fillId="0" borderId="10" pivotButton="0" quotePrefix="0" xfId="6"/>
    <xf numFmtId="38" fontId="4" fillId="0" borderId="0" pivotButton="0" quotePrefix="0" xfId="1"/>
    <xf numFmtId="165" fontId="4" fillId="0" borderId="2" pivotButton="0" quotePrefix="0" xfId="1"/>
    <xf numFmtId="0" fontId="5" fillId="0" borderId="0" pivotButton="0" quotePrefix="0" xfId="8"/>
    <xf numFmtId="0" fontId="2" fillId="0" borderId="1" pivotButton="0" quotePrefix="0" xfId="4"/>
    <xf numFmtId="0" fontId="9" fillId="0" borderId="0" pivotButton="0" quotePrefix="0" xfId="4"/>
    <xf numFmtId="38" fontId="4" fillId="0" borderId="0" pivotButton="0" quotePrefix="0" xfId="4"/>
    <xf numFmtId="164" fontId="18" fillId="0" borderId="0" applyAlignment="1" pivotButton="0" quotePrefix="0" xfId="4">
      <alignment horizontal="right"/>
    </xf>
    <xf numFmtId="0" fontId="4" fillId="0" borderId="4" pivotButton="0" quotePrefix="0" xfId="4"/>
    <xf numFmtId="165" fontId="4" fillId="0" borderId="5" pivotButton="0" quotePrefix="0" xfId="4"/>
    <xf numFmtId="167" fontId="4" fillId="0" borderId="0" pivotButton="0" quotePrefix="0" xfId="1"/>
    <xf numFmtId="38" fontId="5" fillId="0" borderId="0" pivotButton="0" quotePrefix="0" xfId="1"/>
    <xf numFmtId="164" fontId="4" fillId="0" borderId="2" pivotButton="0" quotePrefix="0" xfId="6"/>
    <xf numFmtId="0" fontId="2" fillId="0" borderId="2" pivotButton="0" quotePrefix="0" xfId="4"/>
    <xf numFmtId="38" fontId="2" fillId="0" borderId="2" pivotButton="0" quotePrefix="0" xfId="1"/>
    <xf numFmtId="165" fontId="2" fillId="0" borderId="2" pivotButton="0" quotePrefix="0" xfId="4"/>
    <xf numFmtId="165" fontId="4" fillId="0" borderId="11" pivotButton="0" quotePrefix="0" xfId="4"/>
    <xf numFmtId="38" fontId="5" fillId="0" borderId="0" pivotButton="0" quotePrefix="0" xfId="1"/>
    <xf numFmtId="0" fontId="2" fillId="0" borderId="0" pivotButton="0" quotePrefix="0" xfId="0"/>
    <xf numFmtId="164" fontId="13" fillId="0" borderId="0" applyAlignment="1" pivotButton="0" quotePrefix="0" xfId="4">
      <alignment horizontal="right"/>
    </xf>
    <xf numFmtId="0" fontId="5" fillId="0" borderId="8" pivotButton="0" quotePrefix="0" xfId="4"/>
    <xf numFmtId="0" fontId="9" fillId="0" borderId="12" pivotButton="0" quotePrefix="0" xfId="4"/>
    <xf numFmtId="38" fontId="9" fillId="0" borderId="4" pivotButton="0" quotePrefix="0" xfId="1"/>
    <xf numFmtId="164" fontId="2" fillId="0" borderId="5" pivotButton="0" quotePrefix="0" xfId="6"/>
    <xf numFmtId="164" fontId="5" fillId="0" borderId="5" pivotButton="0" quotePrefix="0" xfId="4"/>
    <xf numFmtId="38" fontId="9" fillId="0" borderId="5" pivotButton="0" quotePrefix="0" xfId="1"/>
    <xf numFmtId="164" fontId="2" fillId="0" borderId="6" pivotButton="0" quotePrefix="0" xfId="6"/>
    <xf numFmtId="38" fontId="4" fillId="0" borderId="11" pivotButton="0" quotePrefix="0" xfId="4"/>
    <xf numFmtId="0" fontId="19" fillId="0" borderId="7" pivotButton="0" quotePrefix="0" xfId="0"/>
    <xf numFmtId="164" fontId="5" fillId="0" borderId="2" pivotButton="0" quotePrefix="0" xfId="4"/>
    <xf numFmtId="38" fontId="5" fillId="0" borderId="2" pivotButton="0" quotePrefix="0" xfId="1"/>
    <xf numFmtId="164" fontId="4" fillId="0" borderId="3" pivotButton="0" quotePrefix="0" xfId="6"/>
    <xf numFmtId="0" fontId="11" fillId="0" borderId="0" pivotButton="0" quotePrefix="0" xfId="4"/>
    <xf numFmtId="0" fontId="13" fillId="0" borderId="8" pivotButton="0" quotePrefix="0" xfId="0"/>
    <xf numFmtId="10" fontId="13" fillId="0" borderId="0" pivotButton="0" quotePrefix="0" xfId="4"/>
    <xf numFmtId="38" fontId="13" fillId="0" borderId="0" pivotButton="0" quotePrefix="0" xfId="1"/>
    <xf numFmtId="10" fontId="20" fillId="0" borderId="0" pivotButton="0" quotePrefix="0" xfId="4"/>
    <xf numFmtId="168" fontId="20" fillId="0" borderId="0" pivotButton="0" quotePrefix="0" xfId="2"/>
    <xf numFmtId="0" fontId="13" fillId="0" borderId="0" pivotButton="0" quotePrefix="0" xfId="4"/>
    <xf numFmtId="168" fontId="4" fillId="0" borderId="0" pivotButton="0" quotePrefix="0" xfId="4"/>
    <xf numFmtId="0" fontId="6" fillId="0" borderId="0" pivotButton="0" quotePrefix="0" xfId="4"/>
    <xf numFmtId="9" fontId="13" fillId="0" borderId="11" pivotButton="0" quotePrefix="0" xfId="4"/>
    <xf numFmtId="165" fontId="13" fillId="0" borderId="0" pivotButton="0" quotePrefix="0" xfId="4"/>
    <xf numFmtId="0" fontId="19" fillId="0" borderId="12" pivotButton="0" quotePrefix="0" xfId="4"/>
    <xf numFmtId="165" fontId="2" fillId="0" borderId="5" pivotButton="0" quotePrefix="0" xfId="7"/>
    <xf numFmtId="38" fontId="9" fillId="0" borderId="5" pivotButton="0" quotePrefix="0" xfId="1"/>
    <xf numFmtId="0" fontId="2" fillId="2" borderId="7" applyAlignment="1" pivotButton="0" quotePrefix="0" xfId="0">
      <alignment vertical="center"/>
    </xf>
    <xf numFmtId="38" fontId="9" fillId="2" borderId="1" pivotButton="0" quotePrefix="0" xfId="1"/>
    <xf numFmtId="164" fontId="2" fillId="2" borderId="2" pivotButton="0" quotePrefix="0" xfId="6"/>
    <xf numFmtId="165" fontId="2" fillId="2" borderId="2" pivotButton="0" quotePrefix="0" xfId="7"/>
    <xf numFmtId="38" fontId="2" fillId="2" borderId="2" pivotButton="0" quotePrefix="0" xfId="1"/>
    <xf numFmtId="164" fontId="2" fillId="2" borderId="3" pivotButton="0" quotePrefix="0" xfId="6"/>
    <xf numFmtId="0" fontId="4" fillId="2" borderId="12" applyAlignment="1" pivotButton="0" quotePrefix="0" xfId="0">
      <alignment vertical="center"/>
    </xf>
    <xf numFmtId="38" fontId="9" fillId="2" borderId="4" pivotButton="0" quotePrefix="0" xfId="1"/>
    <xf numFmtId="164" fontId="2" fillId="2" borderId="5" pivotButton="0" quotePrefix="0" xfId="6"/>
    <xf numFmtId="165" fontId="2" fillId="2" borderId="5" pivotButton="0" quotePrefix="0" xfId="7"/>
    <xf numFmtId="38" fontId="2" fillId="2" borderId="5" pivotButton="0" quotePrefix="0" xfId="1"/>
    <xf numFmtId="164" fontId="2" fillId="2" borderId="6" pivotButton="0" quotePrefix="0" xfId="6"/>
    <xf numFmtId="10" fontId="13" fillId="0" borderId="11" pivotButton="0" quotePrefix="0" xfId="6"/>
    <xf numFmtId="38" fontId="5" fillId="0" borderId="0" pivotButton="0" quotePrefix="0" xfId="1"/>
    <xf numFmtId="0" fontId="9" fillId="0" borderId="7" pivotButton="0" quotePrefix="0" xfId="8"/>
    <xf numFmtId="164" fontId="13" fillId="0" borderId="0" pivotButton="0" quotePrefix="0" xfId="6"/>
    <xf numFmtId="38" fontId="13" fillId="0" borderId="9" pivotButton="0" quotePrefix="0" xfId="1"/>
    <xf numFmtId="38" fontId="13" fillId="0" borderId="0" pivotButton="0" quotePrefix="0" xfId="1"/>
    <xf numFmtId="0" fontId="13" fillId="0" borderId="0" pivotButton="0" quotePrefix="0" xfId="8"/>
    <xf numFmtId="164" fontId="5" fillId="0" borderId="0" pivotButton="0" quotePrefix="0" xfId="6"/>
    <xf numFmtId="38" fontId="5" fillId="0" borderId="11" pivotButton="0" quotePrefix="0" xfId="1"/>
    <xf numFmtId="43" fontId="5" fillId="0" borderId="0" pivotButton="0" quotePrefix="0" xfId="4"/>
    <xf numFmtId="38" fontId="4" fillId="0" borderId="0" pivotButton="0" quotePrefix="0" xfId="1"/>
    <xf numFmtId="164" fontId="13" fillId="0" borderId="13" pivotButton="0" quotePrefix="0" xfId="6"/>
    <xf numFmtId="0" fontId="9" fillId="0" borderId="12" pivotButton="0" quotePrefix="0" xfId="8"/>
    <xf numFmtId="38" fontId="2" fillId="0" borderId="5" pivotButton="0" quotePrefix="0" xfId="1"/>
    <xf numFmtId="0" fontId="9" fillId="4" borderId="7" pivotButton="0" quotePrefix="0" xfId="8"/>
    <xf numFmtId="38" fontId="9" fillId="2" borderId="2" pivotButton="0" quotePrefix="0" xfId="1"/>
    <xf numFmtId="0" fontId="2" fillId="2" borderId="2" pivotButton="0" quotePrefix="0" xfId="4"/>
    <xf numFmtId="0" fontId="21" fillId="4" borderId="8" pivotButton="0" quotePrefix="0" xfId="8"/>
    <xf numFmtId="164" fontId="21" fillId="2" borderId="0" pivotButton="0" quotePrefix="0" xfId="3"/>
    <xf numFmtId="164" fontId="2" fillId="2" borderId="0" pivotButton="0" quotePrefix="0" xfId="6"/>
    <xf numFmtId="0" fontId="2" fillId="2" borderId="0" pivotButton="0" quotePrefix="0" xfId="4"/>
    <xf numFmtId="164" fontId="2" fillId="2" borderId="10" pivotButton="0" quotePrefix="0" xfId="6"/>
    <xf numFmtId="0" fontId="2" fillId="2" borderId="5" pivotButton="0" quotePrefix="0" xfId="4"/>
    <xf numFmtId="0" fontId="2" fillId="2" borderId="6" pivotButton="0" quotePrefix="0" xfId="4"/>
    <xf numFmtId="165" fontId="2" fillId="2" borderId="2" pivotButton="0" quotePrefix="0" xfId="4"/>
    <xf numFmtId="165" fontId="2" fillId="2" borderId="0" pivotButton="0" quotePrefix="0" xfId="4"/>
    <xf numFmtId="0" fontId="4" fillId="2" borderId="4" applyAlignment="1" pivotButton="0" quotePrefix="0" xfId="0">
      <alignment vertical="center"/>
    </xf>
    <xf numFmtId="164" fontId="21" fillId="2" borderId="4" pivotButton="0" quotePrefix="0" xfId="6"/>
    <xf numFmtId="164" fontId="14" fillId="2" borderId="5" pivotButton="0" quotePrefix="0" xfId="6"/>
    <xf numFmtId="0" fontId="14" fillId="2" borderId="5" pivotButton="0" quotePrefix="0" xfId="4"/>
    <xf numFmtId="0" fontId="14" fillId="2" borderId="6" pivotButton="0" quotePrefix="0" xfId="4"/>
    <xf numFmtId="0" fontId="21" fillId="0" borderId="0" pivotButton="0" quotePrefix="0" xfId="8"/>
    <xf numFmtId="38" fontId="5" fillId="0" borderId="0" pivotButton="0" quotePrefix="0" xfId="4"/>
    <xf numFmtId="0" fontId="14" fillId="0" borderId="0" pivotButton="0" quotePrefix="0" xfId="4"/>
    <xf numFmtId="164" fontId="14" fillId="0" borderId="0" pivotButton="0" quotePrefix="0" xfId="6"/>
    <xf numFmtId="167" fontId="2" fillId="0" borderId="0" pivotButton="0" quotePrefix="0" xfId="4"/>
    <xf numFmtId="38" fontId="2" fillId="0" borderId="0" pivotButton="0" quotePrefix="0" xfId="1"/>
    <xf numFmtId="168" fontId="20" fillId="0" borderId="0" pivotButton="0" quotePrefix="0" xfId="2"/>
    <xf numFmtId="168" fontId="4" fillId="0" borderId="0" pivotButton="0" quotePrefix="0" xfId="4"/>
  </cellXfs>
  <cellStyles count="12">
    <cellStyle name="Normal" xfId="0" builtinId="0"/>
    <cellStyle name="Comma" xfId="1" builtinId="3"/>
    <cellStyle name="Currency" xfId="2" builtinId="4"/>
    <cellStyle name="Percent" xfId="3" builtinId="5"/>
    <cellStyle name="Normal 2" xfId="4"/>
    <cellStyle name="Comma [0] 2" xfId="5"/>
    <cellStyle name="Percent 2" xfId="6"/>
    <cellStyle name="Comma 3" xfId="7"/>
    <cellStyle name="Normal 2 2" xfId="8"/>
    <cellStyle name="Normal 2 4" xfId="9"/>
    <cellStyle name="桁区切り 5" xfId="10"/>
    <cellStyle name="パーセント 3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14"/>
  <sheetViews>
    <sheetView tabSelected="1" topLeftCell="G27" workbookViewId="0">
      <selection activeCell="E134" sqref="E134"/>
    </sheetView>
  </sheetViews>
  <sheetFormatPr baseColWidth="10" defaultColWidth="9" defaultRowHeight="13"/>
  <cols>
    <col width="3.5" customWidth="1" style="2" min="1" max="1"/>
    <col width="29.1640625" customWidth="1" style="2" min="2" max="2"/>
    <col width="7.5" customWidth="1" style="2" min="3" max="3"/>
    <col width="19.5" customWidth="1" style="10" min="4" max="4"/>
    <col width="8.83203125" customWidth="1" style="2" min="5" max="6"/>
    <col width="18.5" customWidth="1" style="2" min="7" max="7"/>
    <col width="8.6640625" customWidth="1" style="2" min="8" max="8"/>
    <col width="9" customWidth="1" style="2" min="9" max="9"/>
    <col width="16.83203125" customWidth="1" style="2" min="10" max="10"/>
    <col width="9" customWidth="1" style="2" min="11" max="12"/>
    <col width="16.6640625" customWidth="1" style="2" min="13" max="13"/>
    <col width="9" customWidth="1" style="2" min="14" max="15"/>
    <col width="16.6640625" customWidth="1" style="2" min="16" max="16"/>
    <col width="9" customWidth="1" style="2" min="17" max="17"/>
    <col width="7.5" customWidth="1" style="2" min="18" max="18"/>
    <col width="28.5" customWidth="1" style="2" min="19" max="19"/>
    <col width="15" customWidth="1" style="2" min="20" max="20"/>
    <col width="15.6640625" customWidth="1" style="2" min="21" max="21"/>
    <col width="16.5" customWidth="1" style="2" min="22" max="22"/>
    <col width="7" customWidth="1" style="2" min="23" max="23"/>
    <col width="6.1640625" customWidth="1" style="2" min="24" max="24"/>
    <col width="10.1640625" customWidth="1" style="2" min="25" max="25"/>
    <col width="10.33203125" bestFit="1" customWidth="1" style="2" min="26" max="26"/>
    <col width="9" customWidth="1" style="2" min="27" max="16384"/>
  </cols>
  <sheetData>
    <row r="1" ht="13" customHeight="1">
      <c r="A1" s="1" t="inlineStr">
        <is>
          <t>Moxy Hotel Nara FOR DHP</t>
        </is>
      </c>
      <c r="D1" s="3" t="n"/>
      <c r="G1" s="4" t="n"/>
      <c r="I1" s="5" t="n"/>
      <c r="J1" s="4" t="n"/>
      <c r="K1" s="6" t="n"/>
      <c r="M1" s="124" t="n"/>
      <c r="O1" s="5" t="n"/>
      <c r="P1" s="8" t="n"/>
      <c r="Q1" s="6" t="n"/>
    </row>
    <row r="2" ht="13" customHeight="1">
      <c r="A2" s="9" t="inlineStr">
        <is>
          <t>For Discussion Purposes Only</t>
        </is>
      </c>
    </row>
    <row r="3" ht="13" customHeight="1">
      <c r="A3" s="9" t="inlineStr">
        <is>
          <t>JPY</t>
        </is>
      </c>
      <c r="D3" s="11" t="n"/>
      <c r="E3" s="12" t="n"/>
      <c r="F3" s="12" t="n"/>
      <c r="G3" s="13" t="n"/>
      <c r="H3" s="12" t="n"/>
      <c r="I3" s="14" t="n"/>
      <c r="J3" s="13" t="n"/>
      <c r="K3" s="12" t="n"/>
      <c r="L3" s="12" t="n"/>
      <c r="M3" s="13" t="n"/>
      <c r="N3" s="12" t="n"/>
      <c r="O3" s="14" t="n"/>
      <c r="P3" s="13" t="n"/>
    </row>
    <row r="4" ht="13" customHeight="1">
      <c r="A4" s="9" t="n"/>
      <c r="D4" s="11" t="n"/>
      <c r="E4" s="12" t="n"/>
      <c r="F4" s="12" t="n"/>
      <c r="G4" s="15" t="n"/>
      <c r="H4" s="12" t="n"/>
      <c r="I4" s="12" t="n"/>
      <c r="J4" s="13" t="n"/>
      <c r="K4" s="12" t="n"/>
      <c r="L4" s="12" t="n"/>
      <c r="M4" s="13" t="n"/>
      <c r="N4" s="12" t="n"/>
      <c r="O4" s="12" t="n"/>
      <c r="P4" s="13" t="n"/>
    </row>
    <row r="5" ht="13" customHeight="1">
      <c r="A5" s="9" t="n"/>
      <c r="D5" s="16" t="inlineStr">
        <is>
          <t>Proforma</t>
        </is>
      </c>
      <c r="E5" s="12" t="n"/>
      <c r="F5" s="12" t="n"/>
      <c r="G5" s="15" t="inlineStr">
        <is>
          <t>Proforma</t>
        </is>
      </c>
      <c r="H5" s="12" t="n"/>
      <c r="I5" s="12" t="n"/>
      <c r="J5" s="15" t="inlineStr">
        <is>
          <t>Proforma</t>
        </is>
      </c>
      <c r="K5" s="12" t="n"/>
      <c r="L5" s="12" t="n"/>
      <c r="M5" s="15" t="inlineStr">
        <is>
          <t>Proforma</t>
        </is>
      </c>
      <c r="N5" s="12" t="n"/>
      <c r="O5" s="15" t="n"/>
      <c r="P5" s="15" t="inlineStr">
        <is>
          <t>Proforma</t>
        </is>
      </c>
    </row>
    <row r="6" ht="13" customHeight="1">
      <c r="D6" s="17" t="inlineStr">
        <is>
          <t>Year 1</t>
        </is>
      </c>
      <c r="E6" s="18" t="n"/>
      <c r="F6" s="19" t="n"/>
      <c r="G6" s="18" t="inlineStr">
        <is>
          <t>Year 2</t>
        </is>
      </c>
      <c r="H6" s="18" t="n"/>
      <c r="I6" s="19" t="n"/>
      <c r="J6" s="18" t="inlineStr">
        <is>
          <t>Year 3</t>
        </is>
      </c>
      <c r="K6" s="18" t="n"/>
      <c r="L6" s="19" t="n"/>
      <c r="M6" s="18" t="inlineStr">
        <is>
          <t>Year 4</t>
        </is>
      </c>
      <c r="N6" s="18" t="n"/>
      <c r="O6" s="19" t="n"/>
      <c r="P6" s="18" t="inlineStr">
        <is>
          <t>Year 5</t>
        </is>
      </c>
      <c r="Q6" s="20" t="n"/>
    </row>
    <row r="7" ht="13" customHeight="1">
      <c r="D7" s="21" t="n"/>
      <c r="E7" s="22" t="n"/>
      <c r="F7" s="23" t="n"/>
      <c r="G7" s="22" t="n"/>
      <c r="H7" s="22" t="n"/>
      <c r="I7" s="23" t="n"/>
      <c r="J7" s="22" t="n"/>
      <c r="K7" s="22" t="n"/>
      <c r="L7" s="23" t="n"/>
      <c r="M7" s="22" t="n"/>
      <c r="N7" s="22" t="n"/>
      <c r="O7" s="23" t="n"/>
      <c r="P7" s="22" t="n"/>
      <c r="Q7" s="24" t="n"/>
    </row>
    <row r="8" ht="13" customHeight="1">
      <c r="B8" s="25" t="n"/>
      <c r="D8" s="16" t="n"/>
      <c r="E8" s="15" t="n"/>
      <c r="F8" s="12" t="n"/>
      <c r="G8" s="15" t="n"/>
      <c r="H8" s="15" t="n"/>
      <c r="I8" s="12" t="n"/>
      <c r="J8" s="15" t="n"/>
      <c r="K8" s="15" t="n"/>
      <c r="L8" s="12" t="n"/>
      <c r="M8" s="15" t="n"/>
      <c r="N8" s="15" t="n"/>
      <c r="O8" s="12" t="n"/>
      <c r="P8" s="15" t="n"/>
    </row>
    <row r="9" ht="13" customHeight="1">
      <c r="B9" s="26" t="inlineStr">
        <is>
          <t>KPIs</t>
        </is>
      </c>
      <c r="D9" s="27" t="n"/>
      <c r="E9" s="28" t="n"/>
      <c r="F9" s="29" t="inlineStr">
        <is>
          <t>% Grth</t>
        </is>
      </c>
      <c r="G9" s="30" t="n"/>
      <c r="H9" s="30" t="n"/>
      <c r="I9" s="29" t="inlineStr">
        <is>
          <t>% Grth</t>
        </is>
      </c>
      <c r="J9" s="30" t="n"/>
      <c r="K9" s="30" t="n"/>
      <c r="L9" s="29" t="inlineStr">
        <is>
          <t>% Grth</t>
        </is>
      </c>
      <c r="M9" s="30" t="n"/>
      <c r="N9" s="30" t="n"/>
      <c r="O9" s="29" t="inlineStr">
        <is>
          <t>% Grth</t>
        </is>
      </c>
      <c r="P9" s="28" t="n"/>
      <c r="Q9" s="31" t="n"/>
    </row>
    <row r="10" ht="13" customHeight="1">
      <c r="B10" s="32" t="inlineStr">
        <is>
          <t>No of Days</t>
        </is>
      </c>
      <c r="D10" s="33" t="n">
        <v>365</v>
      </c>
      <c r="E10" s="37" t="n"/>
      <c r="G10" s="35">
        <f>D10</f>
        <v/>
      </c>
      <c r="H10" s="35" t="n"/>
      <c r="J10" s="35">
        <f>G10</f>
        <v/>
      </c>
      <c r="K10" s="35" t="n"/>
      <c r="M10" s="35">
        <f>J10</f>
        <v/>
      </c>
      <c r="N10" s="35" t="n"/>
      <c r="P10" s="35">
        <f>M10</f>
        <v/>
      </c>
      <c r="Q10" s="36" t="n"/>
      <c r="R10" s="37" t="n"/>
    </row>
    <row r="11" ht="13" customHeight="1">
      <c r="B11" s="32" t="inlineStr">
        <is>
          <t>No of Rooms</t>
        </is>
      </c>
      <c r="D11" s="33" t="n">
        <v>138</v>
      </c>
      <c r="E11" s="37" t="n"/>
      <c r="G11" s="35">
        <f>D11</f>
        <v/>
      </c>
      <c r="H11" s="35" t="n"/>
      <c r="J11" s="35">
        <f>G11</f>
        <v/>
      </c>
      <c r="K11" s="35" t="n"/>
      <c r="M11" s="38">
        <f>J11</f>
        <v/>
      </c>
      <c r="N11" s="38" t="n"/>
      <c r="O11" s="10" t="n"/>
      <c r="P11" s="38">
        <f>M11</f>
        <v/>
      </c>
      <c r="Q11" s="36" t="n"/>
    </row>
    <row r="12" ht="13" customHeight="1">
      <c r="B12" s="32" t="inlineStr">
        <is>
          <t xml:space="preserve">Available Room Nights </t>
        </is>
      </c>
      <c r="D12" s="33">
        <f>D10*D11</f>
        <v/>
      </c>
      <c r="E12" s="37" t="n"/>
      <c r="G12" s="37">
        <f>G10*G11</f>
        <v/>
      </c>
      <c r="H12" s="37" t="n"/>
      <c r="J12" s="37">
        <f>J10*J11</f>
        <v/>
      </c>
      <c r="K12" s="37" t="n"/>
      <c r="M12" s="37">
        <f>M10*M11</f>
        <v/>
      </c>
      <c r="N12" s="37" t="n"/>
      <c r="P12" s="37">
        <f>P10*P11</f>
        <v/>
      </c>
      <c r="Q12" s="36" t="n"/>
      <c r="R12" s="37" t="n"/>
    </row>
    <row r="13" ht="13" customHeight="1">
      <c r="B13" s="32" t="inlineStr">
        <is>
          <t xml:space="preserve">Occupied Room Nights </t>
        </is>
      </c>
      <c r="D13" s="33">
        <f>D12*D14</f>
        <v/>
      </c>
      <c r="E13" s="35" t="n"/>
      <c r="G13" s="37">
        <f>G12*G14</f>
        <v/>
      </c>
      <c r="H13" s="35" t="n"/>
      <c r="J13" s="37">
        <f>J12*J14</f>
        <v/>
      </c>
      <c r="K13" s="35" t="n"/>
      <c r="M13" s="37">
        <f>M12*M14</f>
        <v/>
      </c>
      <c r="N13" s="35" t="n"/>
      <c r="P13" s="37">
        <f>P12*P14</f>
        <v/>
      </c>
      <c r="Q13" s="36" t="n"/>
      <c r="R13" s="37" t="n"/>
    </row>
    <row r="14" ht="13" customHeight="1">
      <c r="B14" s="39" t="inlineStr">
        <is>
          <t xml:space="preserve">Occupancy </t>
        </is>
      </c>
      <c r="D14" s="40" t="n">
        <v>0.7821267262544938</v>
      </c>
      <c r="E14" s="41" t="n"/>
      <c r="F14" s="42" t="n">
        <v>0.03</v>
      </c>
      <c r="G14" s="43">
        <f>D14+F14</f>
        <v/>
      </c>
      <c r="H14" s="43" t="n"/>
      <c r="I14" s="42" t="n">
        <v>0.02</v>
      </c>
      <c r="J14" s="43">
        <f>G14+I14</f>
        <v/>
      </c>
      <c r="K14" s="43" t="n"/>
      <c r="L14" s="42" t="n">
        <v>0.01</v>
      </c>
      <c r="M14" s="43">
        <f>J14+L14</f>
        <v/>
      </c>
      <c r="N14" s="43" t="n"/>
      <c r="O14" s="42" t="n">
        <v>0.005</v>
      </c>
      <c r="P14" s="43">
        <f>M14+O14</f>
        <v/>
      </c>
      <c r="Q14" s="44" t="n"/>
      <c r="R14" s="37" t="n"/>
    </row>
    <row r="15" ht="13" customHeight="1">
      <c r="B15" s="39" t="inlineStr">
        <is>
          <t>ADR</t>
        </is>
      </c>
      <c r="D15" s="45" t="n">
        <v>18279.60188281379</v>
      </c>
      <c r="E15" s="46" t="n"/>
      <c r="F15" s="42" t="n">
        <v>0.04</v>
      </c>
      <c r="G15" s="47">
        <f>D15*(1+F15)</f>
        <v/>
      </c>
      <c r="H15" s="47" t="n"/>
      <c r="I15" s="42" t="n">
        <v>0.04</v>
      </c>
      <c r="J15" s="47">
        <f>G15*(1+I15)</f>
        <v/>
      </c>
      <c r="K15" s="47" t="n"/>
      <c r="L15" s="42" t="n">
        <v>0.035</v>
      </c>
      <c r="M15" s="47">
        <f>J15*(1+L15)</f>
        <v/>
      </c>
      <c r="N15" s="47" t="n"/>
      <c r="O15" s="42" t="n">
        <v>0.035</v>
      </c>
      <c r="P15" s="47">
        <f>M15*(1+O15)</f>
        <v/>
      </c>
      <c r="Q15" s="44" t="n"/>
      <c r="R15" s="37" t="n"/>
    </row>
    <row r="16" ht="13" customHeight="1">
      <c r="B16" s="39" t="inlineStr">
        <is>
          <t>RevPar</t>
        </is>
      </c>
      <c r="D16" s="45">
        <f>D14*D15</f>
        <v/>
      </c>
      <c r="E16" s="46" t="n"/>
      <c r="F16" s="48" t="n"/>
      <c r="G16" s="46">
        <f>G14*G15</f>
        <v/>
      </c>
      <c r="H16" s="46" t="n"/>
      <c r="I16" s="49" t="n"/>
      <c r="J16" s="46">
        <f>J14*J15</f>
        <v/>
      </c>
      <c r="K16" s="46" t="n"/>
      <c r="L16" s="48" t="n"/>
      <c r="M16" s="46">
        <f>M14*M15</f>
        <v/>
      </c>
      <c r="N16" s="46" t="n"/>
      <c r="O16" s="48" t="n"/>
      <c r="P16" s="46">
        <f>P14*P15</f>
        <v/>
      </c>
      <c r="Q16" s="44" t="n"/>
      <c r="R16" s="37" t="n"/>
    </row>
    <row r="17" ht="13" customHeight="1">
      <c r="B17" s="32" t="inlineStr">
        <is>
          <t xml:space="preserve">No of Hotel Guests </t>
        </is>
      </c>
      <c r="D17" s="33">
        <f>D13*D18</f>
        <v/>
      </c>
      <c r="E17" s="50" t="n"/>
      <c r="F17" s="51" t="n">
        <v>0.0383569554561396</v>
      </c>
      <c r="G17" s="37">
        <f>G13*G18</f>
        <v/>
      </c>
      <c r="H17" s="37" t="n"/>
      <c r="I17" s="51" t="n">
        <v>0.02462669846150689</v>
      </c>
      <c r="J17" s="37">
        <f>J13*J18</f>
        <v/>
      </c>
      <c r="K17" s="37" t="n"/>
      <c r="L17" s="51" t="n">
        <v>0.01201740033637821</v>
      </c>
      <c r="M17" s="37">
        <f>M13*M18</f>
        <v/>
      </c>
      <c r="N17" s="37" t="n"/>
      <c r="O17" s="51" t="n">
        <v>0.005937348672257814</v>
      </c>
      <c r="P17" s="37">
        <f>P13*P18</f>
        <v/>
      </c>
      <c r="Q17" s="36" t="n"/>
      <c r="R17" s="37" t="n"/>
    </row>
    <row r="18" ht="13" customHeight="1">
      <c r="B18" s="52" t="inlineStr">
        <is>
          <t>No of Guest / Occ Room</t>
        </is>
      </c>
      <c r="D18" s="53" t="n">
        <v>1.8</v>
      </c>
      <c r="E18" s="54" t="n"/>
      <c r="F18" s="55" t="n"/>
      <c r="G18" s="56">
        <f>D18</f>
        <v/>
      </c>
      <c r="H18" s="57" t="n"/>
      <c r="I18" s="58" t="n"/>
      <c r="J18" s="56">
        <f>G18</f>
        <v/>
      </c>
      <c r="K18" s="57" t="n"/>
      <c r="L18" s="58" t="n"/>
      <c r="M18" s="56">
        <f>J18</f>
        <v/>
      </c>
      <c r="N18" s="57" t="n"/>
      <c r="O18" s="58" t="n"/>
      <c r="P18" s="56">
        <f>M18</f>
        <v/>
      </c>
      <c r="Q18" s="59" t="n"/>
      <c r="R18" s="37" t="n"/>
    </row>
    <row r="19" ht="13" customHeight="1">
      <c r="D19" s="60" t="n"/>
      <c r="E19" s="50" t="n"/>
      <c r="F19" s="61" t="n"/>
      <c r="G19" s="62" t="n"/>
      <c r="H19" s="62" t="n"/>
      <c r="I19" s="63" t="n"/>
      <c r="J19" s="62" t="n"/>
      <c r="K19" s="62" t="n"/>
      <c r="L19" s="63" t="n"/>
      <c r="M19" s="62" t="n"/>
      <c r="N19" s="62" t="n"/>
      <c r="O19" s="63" t="n"/>
      <c r="P19" s="62" t="n"/>
      <c r="R19" s="37" t="n"/>
    </row>
    <row r="20" ht="13" customHeight="1">
      <c r="D20" s="60" t="n"/>
      <c r="E20" s="50" t="n"/>
      <c r="F20" s="61" t="n"/>
      <c r="G20" s="50" t="n"/>
      <c r="H20" s="50" t="n"/>
      <c r="I20" s="61" t="n"/>
      <c r="J20" s="50" t="n"/>
      <c r="K20" s="50" t="n"/>
      <c r="L20" s="61" t="n"/>
      <c r="M20" s="50" t="n"/>
      <c r="N20" s="50" t="n"/>
      <c r="O20" s="61" t="n"/>
      <c r="P20" s="50" t="n"/>
      <c r="R20" s="37" t="n"/>
      <c r="S20" s="64" t="inlineStr">
        <is>
          <t>(includes C tax where applicable)</t>
        </is>
      </c>
      <c r="T20" s="65" t="n"/>
      <c r="U20" s="66" t="n"/>
      <c r="V20" s="66" t="n"/>
      <c r="W20" s="66" t="n"/>
    </row>
    <row r="21" ht="13" customHeight="1">
      <c r="B21" s="67" t="inlineStr">
        <is>
          <t>Personnel (FT)</t>
        </is>
      </c>
      <c r="D21" s="68" t="n">
        <v>9</v>
      </c>
      <c r="E21" s="69" t="n"/>
      <c r="F21" s="70" t="n"/>
      <c r="G21" s="71" t="n">
        <v>9</v>
      </c>
      <c r="H21" s="69" t="n"/>
      <c r="I21" s="70" t="n"/>
      <c r="J21" s="71" t="n">
        <v>9</v>
      </c>
      <c r="K21" s="69" t="n"/>
      <c r="L21" s="70" t="n"/>
      <c r="M21" s="71" t="n">
        <v>9</v>
      </c>
      <c r="N21" s="69" t="n"/>
      <c r="O21" s="70" t="n"/>
      <c r="P21" s="71" t="n">
        <v>9</v>
      </c>
      <c r="Q21" s="31" t="n"/>
      <c r="R21" s="37" t="n"/>
      <c r="S21" s="72" t="inlineStr">
        <is>
          <t>Project Cost</t>
        </is>
      </c>
      <c r="T21" s="73" t="inlineStr">
        <is>
          <t>Cost JPY</t>
        </is>
      </c>
      <c r="U21" s="74" t="inlineStr">
        <is>
          <t>per room</t>
        </is>
      </c>
      <c r="V21" s="75" t="n"/>
      <c r="W21" s="76" t="n"/>
      <c r="X21" s="66" t="n"/>
    </row>
    <row r="22" ht="13" customHeight="1">
      <c r="B22" s="32" t="inlineStr">
        <is>
          <t>Personnel (PT)</t>
        </is>
      </c>
      <c r="D22" s="33" t="n">
        <v>14.75</v>
      </c>
      <c r="E22" s="37" t="n"/>
      <c r="F22" s="77" t="n"/>
      <c r="G22" s="89" t="n">
        <v>14.75</v>
      </c>
      <c r="H22" s="37" t="n"/>
      <c r="I22" s="77" t="n"/>
      <c r="J22" s="89" t="n">
        <v>14.75</v>
      </c>
      <c r="K22" s="37" t="n"/>
      <c r="L22" s="77" t="n"/>
      <c r="M22" s="89" t="n">
        <v>14.75</v>
      </c>
      <c r="N22" s="37" t="n"/>
      <c r="O22" s="77" t="n"/>
      <c r="P22" s="89" t="n">
        <v>14.75</v>
      </c>
      <c r="Q22" s="36" t="n"/>
      <c r="R22" s="37" t="n"/>
      <c r="S22" s="79" t="inlineStr">
        <is>
          <t>土地関係 (land)</t>
        </is>
      </c>
      <c r="T22" s="80" t="n">
        <v>90700000.015</v>
      </c>
      <c r="U22" s="81">
        <f>ROUND(T22/$D$11,-4)</f>
        <v/>
      </c>
      <c r="V22" s="66" t="n"/>
      <c r="W22" s="82" t="n"/>
      <c r="X22" s="66" t="n"/>
    </row>
    <row r="23" ht="13" customHeight="1">
      <c r="B23" s="32" t="inlineStr">
        <is>
          <t>Total Personnel</t>
        </is>
      </c>
      <c r="D23" s="33" t="n">
        <v>23.75</v>
      </c>
      <c r="E23" s="37" t="n"/>
      <c r="F23" s="77" t="n"/>
      <c r="G23" s="37" t="n">
        <v>23.75</v>
      </c>
      <c r="H23" s="37" t="n"/>
      <c r="I23" s="77" t="n"/>
      <c r="J23" s="37" t="n">
        <v>23.75</v>
      </c>
      <c r="K23" s="37" t="n"/>
      <c r="L23" s="77" t="n"/>
      <c r="M23" s="37" t="n">
        <v>23.75</v>
      </c>
      <c r="N23" s="37" t="n"/>
      <c r="O23" s="77" t="n"/>
      <c r="P23" s="37" t="n">
        <v>23.75</v>
      </c>
      <c r="Q23" s="36" t="n"/>
      <c r="R23" s="37" t="n"/>
      <c r="S23" s="79" t="inlineStr">
        <is>
          <t>建物関係 (building)</t>
        </is>
      </c>
      <c r="T23" s="80" t="n">
        <v>3619927835.2</v>
      </c>
      <c r="U23" s="81">
        <f>ROUND(T23/$D$11,-4)</f>
        <v/>
      </c>
      <c r="W23" s="36" t="n"/>
    </row>
    <row r="24" ht="13" customHeight="1">
      <c r="B24" s="52" t="inlineStr">
        <is>
          <t xml:space="preserve">Personnel Costs </t>
        </is>
      </c>
      <c r="D24" s="83">
        <f>D43+D66+D69+D72</f>
        <v/>
      </c>
      <c r="E24" s="84">
        <f>D24/D$31</f>
        <v/>
      </c>
      <c r="F24" s="85" t="n"/>
      <c r="G24" s="86">
        <f>G43+G66+G69+G72</f>
        <v/>
      </c>
      <c r="H24" s="84">
        <f>G24/G$31</f>
        <v/>
      </c>
      <c r="I24" s="85" t="n"/>
      <c r="J24" s="86">
        <f>J43+J66+J69+J72</f>
        <v/>
      </c>
      <c r="K24" s="84">
        <f>J24/J$31</f>
        <v/>
      </c>
      <c r="L24" s="85" t="n"/>
      <c r="M24" s="86">
        <f>M43+M66+M69+M72</f>
        <v/>
      </c>
      <c r="N24" s="84">
        <f>M24/M$31</f>
        <v/>
      </c>
      <c r="O24" s="85" t="n"/>
      <c r="P24" s="86">
        <f>P43+P66+P69+P72</f>
        <v/>
      </c>
      <c r="Q24" s="87">
        <f>P24/P$31</f>
        <v/>
      </c>
      <c r="R24" s="37" t="n"/>
      <c r="S24" s="88" t="inlineStr">
        <is>
          <t>開発経費（dhp都市開発）</t>
        </is>
      </c>
      <c r="T24" s="80" t="n">
        <v>121762542</v>
      </c>
      <c r="U24" s="81">
        <f>ROUND(T24/$D$11,-4)</f>
        <v/>
      </c>
      <c r="V24" s="66" t="n"/>
      <c r="W24" s="82" t="n"/>
      <c r="X24" s="66" t="n"/>
    </row>
    <row r="25" ht="13" customHeight="1">
      <c r="D25" s="89" t="n"/>
      <c r="E25" s="37" t="n"/>
      <c r="J25" s="37" t="n"/>
      <c r="S25" s="90" t="inlineStr">
        <is>
          <t>Deposit</t>
        </is>
      </c>
      <c r="T25" s="80" t="n">
        <v>0</v>
      </c>
      <c r="U25" s="81">
        <f>ROUND(T25/$D$11,-4)</f>
        <v/>
      </c>
      <c r="V25" s="64" t="n"/>
      <c r="W25" s="82" t="n"/>
      <c r="X25" s="66" t="n"/>
    </row>
    <row r="26" ht="13" customHeight="1">
      <c r="B26" s="91" t="inlineStr">
        <is>
          <t>Revenues</t>
        </is>
      </c>
      <c r="D26" s="92" t="n"/>
      <c r="E26" s="29" t="inlineStr">
        <is>
          <t>% Rev</t>
        </is>
      </c>
      <c r="F26" s="29" t="inlineStr">
        <is>
          <t>% Grth</t>
        </is>
      </c>
      <c r="G26" s="93" t="n"/>
      <c r="H26" s="29" t="inlineStr">
        <is>
          <t>% Rev</t>
        </is>
      </c>
      <c r="I26" s="29" t="inlineStr">
        <is>
          <t>% Grth</t>
        </is>
      </c>
      <c r="J26" s="93" t="n"/>
      <c r="K26" s="29" t="inlineStr">
        <is>
          <t>% Rev</t>
        </is>
      </c>
      <c r="L26" s="29" t="inlineStr">
        <is>
          <t>% Grth</t>
        </is>
      </c>
      <c r="M26" s="93" t="n"/>
      <c r="N26" s="29" t="inlineStr">
        <is>
          <t>% Rev</t>
        </is>
      </c>
      <c r="O26" s="29" t="inlineStr">
        <is>
          <t>% Grth</t>
        </is>
      </c>
      <c r="P26" s="93" t="n"/>
      <c r="Q26" s="94" t="inlineStr">
        <is>
          <t>% Rev</t>
        </is>
      </c>
      <c r="S26" s="90" t="inlineStr">
        <is>
          <t>FF&amp;E</t>
        </is>
      </c>
      <c r="T26" s="80" t="n">
        <v>379500000.0000001</v>
      </c>
      <c r="U26" s="81">
        <f>ROUND(T26/$D$11,-4)</f>
        <v/>
      </c>
      <c r="V26" s="64" t="n"/>
      <c r="W26" s="82" t="n"/>
      <c r="X26" s="66" t="n"/>
    </row>
    <row r="27" ht="13" customHeight="1">
      <c r="B27" s="32" t="inlineStr">
        <is>
          <t xml:space="preserve">Rooms </t>
        </is>
      </c>
      <c r="D27" s="101">
        <f>D13*D15</f>
        <v/>
      </c>
      <c r="E27" s="124">
        <f>D27/D$31</f>
        <v/>
      </c>
      <c r="G27" s="193">
        <f>G13*G15</f>
        <v/>
      </c>
      <c r="H27" s="124">
        <f>G27/G$31</f>
        <v/>
      </c>
      <c r="J27" s="193">
        <f>J13*J15</f>
        <v/>
      </c>
      <c r="K27" s="124">
        <f>J27/J$31</f>
        <v/>
      </c>
      <c r="M27" s="193">
        <f>M13*M15</f>
        <v/>
      </c>
      <c r="N27" s="124">
        <f>M27/M$31</f>
        <v/>
      </c>
      <c r="P27" s="193">
        <f>P13*P15</f>
        <v/>
      </c>
      <c r="Q27" s="125">
        <f>P27/P$31</f>
        <v/>
      </c>
      <c r="S27" s="99" t="inlineStr">
        <is>
          <t>OSE, etc</t>
        </is>
      </c>
      <c r="T27" s="80" t="n">
        <v>30360000</v>
      </c>
      <c r="U27" s="81">
        <f>ROUND(T27/$D$11,-4)</f>
        <v/>
      </c>
      <c r="V27" s="66" t="n"/>
      <c r="W27" s="82" t="n"/>
      <c r="X27" s="66" t="n"/>
    </row>
    <row r="28" ht="13" customHeight="1">
      <c r="B28" s="100" t="inlineStr">
        <is>
          <t>Restaurant</t>
        </is>
      </c>
      <c r="D28" s="101" t="n">
        <v>212302377.2032374</v>
      </c>
      <c r="E28" s="124">
        <f>D28/D$31</f>
        <v/>
      </c>
      <c r="F28" s="77" t="n">
        <v>0.0383569554561396</v>
      </c>
      <c r="G28" s="193">
        <f>D28*(1+F28)</f>
        <v/>
      </c>
      <c r="H28" s="124">
        <f>G28/G$31</f>
        <v/>
      </c>
      <c r="I28" s="102" t="n">
        <v>0.03</v>
      </c>
      <c r="J28" s="193">
        <f>G28*(1+I28)</f>
        <v/>
      </c>
      <c r="K28" s="124">
        <f>J28/J$31</f>
        <v/>
      </c>
      <c r="L28" s="102" t="n">
        <v>0.015</v>
      </c>
      <c r="M28" s="193">
        <f>J28*(1+L28)</f>
        <v/>
      </c>
      <c r="N28" s="124">
        <f>M28/M$31</f>
        <v/>
      </c>
      <c r="O28" s="77" t="n">
        <v>0.005937348672257814</v>
      </c>
      <c r="P28" s="193">
        <f>M28*(1+O28)</f>
        <v/>
      </c>
      <c r="Q28" s="125">
        <f>P28/P$31</f>
        <v/>
      </c>
      <c r="S28" s="90" t="inlineStr">
        <is>
          <t xml:space="preserve">Pre-Opening </t>
        </is>
      </c>
      <c r="T28" s="80" t="n">
        <v>244000000</v>
      </c>
      <c r="U28" s="81">
        <f>ROUND(T28/$D$11,-4)</f>
        <v/>
      </c>
      <c r="V28" s="103" t="n">
        <v>6</v>
      </c>
      <c r="W28" s="82" t="inlineStr">
        <is>
          <t>months</t>
        </is>
      </c>
      <c r="X28" s="66" t="n"/>
    </row>
    <row r="29" ht="13" customHeight="1">
      <c r="B29" s="100" t="inlineStr">
        <is>
          <t>MOD + Roof Top Bar</t>
        </is>
      </c>
      <c r="D29" s="101" t="n">
        <v>20856892.85431655</v>
      </c>
      <c r="E29" s="124">
        <f>D29/D$31</f>
        <v/>
      </c>
      <c r="F29" s="77" t="n">
        <v>0.0383569554561396</v>
      </c>
      <c r="G29" s="193">
        <f>D29*(1+F29)</f>
        <v/>
      </c>
      <c r="H29" s="124">
        <f>G29/G$31</f>
        <v/>
      </c>
      <c r="I29" s="102" t="n">
        <v>0.03</v>
      </c>
      <c r="J29" s="193">
        <f>G29*(1+I29)</f>
        <v/>
      </c>
      <c r="K29" s="124">
        <f>J29/J$31</f>
        <v/>
      </c>
      <c r="L29" s="102" t="n">
        <v>0.015</v>
      </c>
      <c r="M29" s="193">
        <f>J29*(1+L29)</f>
        <v/>
      </c>
      <c r="N29" s="124">
        <f>M29/M$31</f>
        <v/>
      </c>
      <c r="O29" s="77" t="n">
        <v>0.005937348672257814</v>
      </c>
      <c r="P29" s="193">
        <f>M29*(1+O29)</f>
        <v/>
      </c>
      <c r="Q29" s="125">
        <f>P29/P$31</f>
        <v/>
      </c>
      <c r="S29" s="99" t="inlineStr">
        <is>
          <t>Working Capital</t>
        </is>
      </c>
      <c r="T29" s="80" t="n">
        <v>81000000</v>
      </c>
      <c r="U29" s="81">
        <f>ROUND(T29/$D$11,-4)</f>
        <v/>
      </c>
      <c r="V29" s="103" t="n">
        <v>2</v>
      </c>
      <c r="W29" s="82" t="inlineStr">
        <is>
          <t>months</t>
        </is>
      </c>
      <c r="X29" s="66" t="n"/>
    </row>
    <row r="30" ht="13" customHeight="1">
      <c r="B30" s="100" t="inlineStr">
        <is>
          <t>Service Charge (Restaurant + MOD)</t>
        </is>
      </c>
      <c r="C30" s="77" t="n">
        <v>0.1</v>
      </c>
      <c r="D30" s="101">
        <f>$C$30*(D28+D29)</f>
        <v/>
      </c>
      <c r="E30" s="124">
        <f>D30/D$31</f>
        <v/>
      </c>
      <c r="F30" s="77" t="n"/>
      <c r="G30" s="193">
        <f>$C$30*(G28+G29)</f>
        <v/>
      </c>
      <c r="H30" s="124">
        <f>G30/G$31</f>
        <v/>
      </c>
      <c r="I30" s="77" t="n"/>
      <c r="J30" s="193">
        <f>$C$30*(J28+J29)</f>
        <v/>
      </c>
      <c r="K30" s="124">
        <f>J30/J$31</f>
        <v/>
      </c>
      <c r="L30" s="77" t="n"/>
      <c r="M30" s="193">
        <f>$C$30*(M28+M29)</f>
        <v/>
      </c>
      <c r="N30" s="124">
        <f>M30/M$31</f>
        <v/>
      </c>
      <c r="O30" s="77" t="n"/>
      <c r="P30" s="193">
        <f>$C$30*(P28+P29)</f>
        <v/>
      </c>
      <c r="Q30" s="125">
        <f>P30/P$31</f>
        <v/>
      </c>
      <c r="R30" s="66" t="n"/>
      <c r="S30" s="99" t="inlineStr">
        <is>
          <t>HMJ Technical Service Fee</t>
        </is>
      </c>
      <c r="T30" s="80" t="n">
        <v>16500000</v>
      </c>
      <c r="U30" s="81">
        <f>ROUND(T30/$D$11,-4)</f>
        <v/>
      </c>
      <c r="V30" s="66" t="n"/>
      <c r="W30" s="82" t="n"/>
      <c r="X30" s="66" t="n"/>
    </row>
    <row r="31" ht="13" customHeight="1">
      <c r="B31" s="104" t="inlineStr">
        <is>
          <t xml:space="preserve">Total </t>
        </is>
      </c>
      <c r="D31" s="105">
        <f>D27+D28+D29+D30</f>
        <v/>
      </c>
      <c r="E31" s="106">
        <f>D31/D$31</f>
        <v/>
      </c>
      <c r="F31" s="107" t="n"/>
      <c r="G31" s="108">
        <f>G27+G28+G29+G30</f>
        <v/>
      </c>
      <c r="H31" s="106">
        <f>G31/G$31</f>
        <v/>
      </c>
      <c r="I31" s="107" t="n"/>
      <c r="J31" s="108">
        <f>J27+J28+J29+J30</f>
        <v/>
      </c>
      <c r="K31" s="106">
        <f>J31/J$31</f>
        <v/>
      </c>
      <c r="L31" s="107" t="n"/>
      <c r="M31" s="108">
        <f>M27+M28+M29+M30</f>
        <v/>
      </c>
      <c r="N31" s="106">
        <f>M31/M$31</f>
        <v/>
      </c>
      <c r="O31" s="107" t="n"/>
      <c r="P31" s="108">
        <f>P27+P28+P29+P30</f>
        <v/>
      </c>
      <c r="Q31" s="109">
        <f>P31/P$31</f>
        <v/>
      </c>
      <c r="S31" s="88" t="inlineStr">
        <is>
          <t xml:space="preserve">Upfront Moxy Party Fees </t>
        </is>
      </c>
      <c r="T31" s="80" t="n">
        <v>65350000</v>
      </c>
      <c r="U31" s="81">
        <f>ROUND(T31/$D$11,-4)</f>
        <v/>
      </c>
      <c r="W31" s="36" t="n"/>
    </row>
    <row r="32" ht="13" customHeight="1">
      <c r="B32" s="110" t="n"/>
      <c r="D32" s="111" t="n"/>
      <c r="E32" s="112" t="n"/>
      <c r="F32" s="9" t="n"/>
      <c r="G32" s="219" t="n"/>
      <c r="H32" s="114" t="n"/>
      <c r="I32" s="9" t="n"/>
      <c r="J32" s="219" t="n"/>
      <c r="K32" s="114" t="n"/>
      <c r="L32" s="9" t="n"/>
      <c r="M32" s="219" t="n"/>
      <c r="N32" s="114" t="n"/>
      <c r="O32" s="9" t="n"/>
      <c r="P32" s="219" t="n"/>
      <c r="Q32" s="114" t="n"/>
      <c r="R32" s="114" t="n"/>
      <c r="S32" s="115" t="n"/>
      <c r="W32" s="36" t="n"/>
    </row>
    <row r="33" ht="13" customHeight="1">
      <c r="B33" s="116" t="inlineStr">
        <is>
          <t>COGS</t>
        </is>
      </c>
      <c r="D33" s="117" t="n"/>
      <c r="E33" s="118" t="n"/>
      <c r="F33" s="93" t="n"/>
      <c r="G33" s="119" t="n"/>
      <c r="H33" s="118" t="n"/>
      <c r="I33" s="93" t="n"/>
      <c r="J33" s="119" t="n"/>
      <c r="K33" s="118" t="n"/>
      <c r="L33" s="93" t="n"/>
      <c r="M33" s="119" t="n"/>
      <c r="N33" s="118" t="n"/>
      <c r="O33" s="93" t="n"/>
      <c r="P33" s="119" t="n"/>
      <c r="Q33" s="31" t="n"/>
      <c r="S33" s="120" t="inlineStr">
        <is>
          <t>Total</t>
        </is>
      </c>
      <c r="T33" s="121">
        <f>SUM(T22:T31)</f>
        <v/>
      </c>
      <c r="U33" s="122">
        <f>ROUND(T33/$D$11,-4)</f>
        <v/>
      </c>
      <c r="V33" s="123" t="n"/>
      <c r="W33" s="59" t="n"/>
    </row>
    <row r="34" ht="13" customHeight="1">
      <c r="B34" s="32" t="inlineStr">
        <is>
          <t xml:space="preserve">Rooms </t>
        </is>
      </c>
      <c r="D34" s="101" t="n">
        <v>0</v>
      </c>
      <c r="E34" s="124" t="n">
        <v>0</v>
      </c>
      <c r="G34" s="193">
        <f>D34</f>
        <v/>
      </c>
      <c r="H34" s="124" t="n">
        <v>0</v>
      </c>
      <c r="J34" s="193">
        <f>G34</f>
        <v/>
      </c>
      <c r="K34" s="124" t="n">
        <v>0</v>
      </c>
      <c r="M34" s="193">
        <f>J34</f>
        <v/>
      </c>
      <c r="N34" s="124" t="n">
        <v>0</v>
      </c>
      <c r="P34" s="193">
        <f>M34</f>
        <v/>
      </c>
      <c r="Q34" s="125" t="n">
        <v>0</v>
      </c>
      <c r="S34" s="2" t="inlineStr">
        <is>
          <t>Check</t>
        </is>
      </c>
      <c r="T34" s="193">
        <f>T33</f>
        <v/>
      </c>
      <c r="U34" s="127">
        <f>U33</f>
        <v/>
      </c>
    </row>
    <row r="35" ht="13" customHeight="1">
      <c r="B35" s="100" t="inlineStr">
        <is>
          <t>Restaurant</t>
        </is>
      </c>
      <c r="D35" s="101">
        <f>E35*D28</f>
        <v/>
      </c>
      <c r="E35" s="124" t="n">
        <v>0.37</v>
      </c>
      <c r="F35" s="77" t="n">
        <v>0</v>
      </c>
      <c r="G35" s="193">
        <f>H35*G28</f>
        <v/>
      </c>
      <c r="H35" s="124" t="n">
        <v>0.3699999999999999</v>
      </c>
      <c r="I35" s="77" t="n">
        <v>0</v>
      </c>
      <c r="J35" s="193">
        <f>K35*J28</f>
        <v/>
      </c>
      <c r="K35" s="124" t="n">
        <v>0.3699999999999999</v>
      </c>
      <c r="L35" s="77" t="n">
        <v>0</v>
      </c>
      <c r="M35" s="193">
        <f>N35*M28</f>
        <v/>
      </c>
      <c r="N35" s="124" t="n">
        <v>0.3699999999999999</v>
      </c>
      <c r="O35" s="77" t="n">
        <v>0</v>
      </c>
      <c r="P35" s="193">
        <f>Q35*P28</f>
        <v/>
      </c>
      <c r="Q35" s="125" t="n">
        <v>0.3699999999999999</v>
      </c>
      <c r="S35" s="128" t="n"/>
      <c r="T35" s="66" t="n"/>
      <c r="U35" s="66" t="n"/>
      <c r="V35" s="66" t="n"/>
      <c r="W35" s="66" t="n"/>
    </row>
    <row r="36" ht="13" customHeight="1">
      <c r="B36" s="100" t="inlineStr">
        <is>
          <t>MOD + Roof Top Bar</t>
        </is>
      </c>
      <c r="D36" s="101">
        <f>E36*D29</f>
        <v/>
      </c>
      <c r="E36" s="124" t="n">
        <v>0.242099646609703</v>
      </c>
      <c r="F36" s="77" t="n">
        <v>0</v>
      </c>
      <c r="G36" s="193">
        <f>H36*G29</f>
        <v/>
      </c>
      <c r="H36" s="124" t="n">
        <v>0.242099646609703</v>
      </c>
      <c r="I36" s="77" t="n">
        <v>0</v>
      </c>
      <c r="J36" s="193">
        <f>K36*J29</f>
        <v/>
      </c>
      <c r="K36" s="124" t="n">
        <v>0.242099646609703</v>
      </c>
      <c r="L36" s="77" t="n">
        <v>0</v>
      </c>
      <c r="M36" s="193">
        <f>N36*M29</f>
        <v/>
      </c>
      <c r="N36" s="124" t="n">
        <v>0.242099646609703</v>
      </c>
      <c r="O36" s="77" t="n">
        <v>0</v>
      </c>
      <c r="P36" s="193">
        <f>Q36*P29</f>
        <v/>
      </c>
      <c r="Q36" s="125" t="n">
        <v>0.242099646609703</v>
      </c>
      <c r="X36" s="66" t="n"/>
    </row>
    <row r="37" ht="13" customHeight="1">
      <c r="B37" s="104" t="inlineStr">
        <is>
          <t xml:space="preserve">Total </t>
        </is>
      </c>
      <c r="D37" s="105">
        <f>D34+D35+D36</f>
        <v/>
      </c>
      <c r="E37" s="106">
        <f>D37/D$31</f>
        <v/>
      </c>
      <c r="F37" s="107" t="n"/>
      <c r="G37" s="108">
        <f>G34+G35+G36</f>
        <v/>
      </c>
      <c r="H37" s="106">
        <f>G37/G$31</f>
        <v/>
      </c>
      <c r="I37" s="107" t="n"/>
      <c r="J37" s="108">
        <f>J34+J35+J36</f>
        <v/>
      </c>
      <c r="K37" s="106">
        <f>J37/J$31</f>
        <v/>
      </c>
      <c r="L37" s="107" t="n"/>
      <c r="M37" s="108">
        <f>M34+M35+M36</f>
        <v/>
      </c>
      <c r="N37" s="106">
        <f>M37/M$31</f>
        <v/>
      </c>
      <c r="O37" s="107" t="n"/>
      <c r="P37" s="108">
        <f>P34+P35+P36</f>
        <v/>
      </c>
      <c r="Q37" s="109">
        <f>P37/P$31</f>
        <v/>
      </c>
      <c r="S37" s="129" t="inlineStr">
        <is>
          <t>Fee Comparison (5 years)</t>
        </is>
      </c>
      <c r="T37" s="29" t="inlineStr">
        <is>
          <t>Anoma</t>
        </is>
      </c>
      <c r="U37" s="29" t="inlineStr">
        <is>
          <t>Moxy</t>
        </is>
      </c>
      <c r="V37" s="29" t="inlineStr">
        <is>
          <t>Total</t>
        </is>
      </c>
      <c r="W37" s="31" t="n"/>
      <c r="X37" s="66" t="n"/>
    </row>
    <row r="38" ht="13" customHeight="1">
      <c r="B38" s="130" t="n"/>
      <c r="D38" s="111" t="n"/>
      <c r="E38" s="35" t="n"/>
      <c r="G38" s="193" t="n"/>
      <c r="H38" s="35" t="n"/>
      <c r="J38" s="193" t="n"/>
      <c r="K38" s="35" t="n"/>
      <c r="M38" s="193" t="n"/>
      <c r="N38" s="35" t="n"/>
      <c r="P38" s="193" t="n"/>
      <c r="Q38" s="112" t="n"/>
      <c r="R38" s="112" t="n"/>
      <c r="S38" s="115" t="inlineStr">
        <is>
          <t>Upfront</t>
        </is>
      </c>
      <c r="T38" s="35" t="n">
        <v>16500000</v>
      </c>
      <c r="U38" s="35" t="n">
        <v>65350000</v>
      </c>
      <c r="V38" s="35" t="n">
        <v>81850000</v>
      </c>
      <c r="W38" s="36" t="n"/>
      <c r="X38" s="66" t="n"/>
    </row>
    <row r="39" ht="13" customHeight="1">
      <c r="B39" s="116" t="inlineStr">
        <is>
          <t>Personnel Expense</t>
        </is>
      </c>
      <c r="D39" s="117" t="n"/>
      <c r="E39" s="118" t="n"/>
      <c r="F39" s="93" t="n"/>
      <c r="G39" s="119" t="n"/>
      <c r="H39" s="118" t="n"/>
      <c r="I39" s="93" t="n"/>
      <c r="J39" s="119" t="n"/>
      <c r="K39" s="118" t="n"/>
      <c r="L39" s="93" t="n"/>
      <c r="M39" s="119" t="n"/>
      <c r="N39" s="118" t="n"/>
      <c r="O39" s="93" t="n"/>
      <c r="P39" s="119" t="n"/>
      <c r="Q39" s="31" t="n"/>
      <c r="S39" s="115" t="inlineStr">
        <is>
          <t xml:space="preserve">On going </t>
        </is>
      </c>
      <c r="T39" s="131" t="n">
        <v>326366249.4801563</v>
      </c>
      <c r="U39" s="131" t="n">
        <v>362114846.4791001</v>
      </c>
      <c r="V39" s="35" t="n">
        <v>688481095.9592564</v>
      </c>
      <c r="W39" s="36" t="n"/>
    </row>
    <row r="40" ht="13" customHeight="1">
      <c r="B40" s="32" t="inlineStr">
        <is>
          <t xml:space="preserve">Rooms </t>
        </is>
      </c>
      <c r="D40" s="101" t="n">
        <v>37262720</v>
      </c>
      <c r="E40" s="124">
        <f>D40/D$27</f>
        <v/>
      </c>
      <c r="F40" s="132" t="inlineStr">
        <is>
          <t>Dept</t>
        </is>
      </c>
      <c r="G40" s="193">
        <f>D40</f>
        <v/>
      </c>
      <c r="H40" s="124">
        <f>G40/G$27</f>
        <v/>
      </c>
      <c r="I40" s="132" t="inlineStr">
        <is>
          <t>Dept</t>
        </is>
      </c>
      <c r="J40" s="193">
        <f>G40</f>
        <v/>
      </c>
      <c r="K40" s="124">
        <f>J40/J$27</f>
        <v/>
      </c>
      <c r="L40" s="132" t="inlineStr">
        <is>
          <t>Dept</t>
        </is>
      </c>
      <c r="M40" s="193">
        <f>J40</f>
        <v/>
      </c>
      <c r="N40" s="124">
        <f>M40/M$27</f>
        <v/>
      </c>
      <c r="O40" s="132" t="inlineStr">
        <is>
          <t>Dept</t>
        </is>
      </c>
      <c r="P40" s="193">
        <f>M40</f>
        <v/>
      </c>
      <c r="Q40" s="125">
        <f>P40/P$27</f>
        <v/>
      </c>
      <c r="S40" s="133" t="inlineStr">
        <is>
          <t>Total</t>
        </is>
      </c>
      <c r="T40" s="134" t="n">
        <v>342866249.4801563</v>
      </c>
      <c r="U40" s="134" t="n">
        <v>427464846.4791001</v>
      </c>
      <c r="V40" s="134" t="n">
        <v>770331095.9592564</v>
      </c>
      <c r="W40" s="59" t="n"/>
    </row>
    <row r="41" ht="13" customHeight="1">
      <c r="B41" s="100" t="inlineStr">
        <is>
          <t>Restaurant</t>
        </is>
      </c>
      <c r="D41" s="101" t="n">
        <v>35034240</v>
      </c>
      <c r="E41" s="124">
        <f>D41/D$28</f>
        <v/>
      </c>
      <c r="F41" s="132" t="inlineStr">
        <is>
          <t>Dept</t>
        </is>
      </c>
      <c r="G41" s="193">
        <f>D41</f>
        <v/>
      </c>
      <c r="H41" s="124">
        <f>G41/G$28</f>
        <v/>
      </c>
      <c r="I41" s="132" t="inlineStr">
        <is>
          <t>Dept</t>
        </is>
      </c>
      <c r="J41" s="193">
        <f>G41</f>
        <v/>
      </c>
      <c r="K41" s="124">
        <f>J41/J$28</f>
        <v/>
      </c>
      <c r="L41" s="132" t="inlineStr">
        <is>
          <t>Dept</t>
        </is>
      </c>
      <c r="M41" s="193">
        <f>J41</f>
        <v/>
      </c>
      <c r="N41" s="124">
        <f>M41/M$28</f>
        <v/>
      </c>
      <c r="O41" s="132" t="inlineStr">
        <is>
          <t>Dept</t>
        </is>
      </c>
      <c r="P41" s="193">
        <f>M41</f>
        <v/>
      </c>
      <c r="Q41" s="125">
        <f>P41/P$28</f>
        <v/>
      </c>
      <c r="U41" s="135" t="n">
        <v>1.246739354273597</v>
      </c>
    </row>
    <row r="42" ht="13" customHeight="1">
      <c r="B42" s="100" t="inlineStr">
        <is>
          <t>MOD + Roof Top Bar</t>
        </is>
      </c>
      <c r="D42" s="101" t="n">
        <v>5837160</v>
      </c>
      <c r="E42" s="124">
        <f>D42/D$29</f>
        <v/>
      </c>
      <c r="F42" s="132" t="inlineStr">
        <is>
          <t>Dept</t>
        </is>
      </c>
      <c r="G42" s="184">
        <f>D42</f>
        <v/>
      </c>
      <c r="H42" s="124">
        <f>G42/G$29</f>
        <v/>
      </c>
      <c r="I42" s="132" t="inlineStr">
        <is>
          <t>Dept</t>
        </is>
      </c>
      <c r="J42" s="184">
        <f>G42</f>
        <v/>
      </c>
      <c r="K42" s="124">
        <f>J42/J$29</f>
        <v/>
      </c>
      <c r="L42" s="132" t="inlineStr">
        <is>
          <t>Dept</t>
        </is>
      </c>
      <c r="M42" s="184">
        <f>J42</f>
        <v/>
      </c>
      <c r="N42" s="124">
        <f>M42/M$29</f>
        <v/>
      </c>
      <c r="O42" s="132" t="inlineStr">
        <is>
          <t>Dept</t>
        </is>
      </c>
      <c r="P42" s="184">
        <f>M42</f>
        <v/>
      </c>
      <c r="Q42" s="125">
        <f>P42/P$29</f>
        <v/>
      </c>
      <c r="S42" s="128" t="n"/>
      <c r="T42" s="66" t="n"/>
      <c r="U42" s="66" t="n"/>
      <c r="V42" s="66" t="n"/>
      <c r="W42" s="66" t="n"/>
      <c r="X42" s="66" t="n"/>
    </row>
    <row r="43" ht="13" customHeight="1">
      <c r="B43" s="104" t="inlineStr">
        <is>
          <t xml:space="preserve">Total </t>
        </is>
      </c>
      <c r="D43" s="105">
        <f>D40+D41+D42</f>
        <v/>
      </c>
      <c r="E43" s="106">
        <f>D43/D$31</f>
        <v/>
      </c>
      <c r="F43" s="107" t="n"/>
      <c r="G43" s="108">
        <f>G40+G41+G42</f>
        <v/>
      </c>
      <c r="H43" s="106">
        <f>G43/G$31</f>
        <v/>
      </c>
      <c r="I43" s="107" t="n"/>
      <c r="J43" s="108">
        <f>J40+J41+J42</f>
        <v/>
      </c>
      <c r="K43" s="106">
        <f>J43/J$31</f>
        <v/>
      </c>
      <c r="L43" s="107" t="n"/>
      <c r="M43" s="108">
        <f>M40+M41+M42</f>
        <v/>
      </c>
      <c r="N43" s="106">
        <f>M43/M$31</f>
        <v/>
      </c>
      <c r="O43" s="107" t="n"/>
      <c r="P43" s="108">
        <f>P40+P41+P42</f>
        <v/>
      </c>
      <c r="Q43" s="109">
        <f>P43/P$31</f>
        <v/>
      </c>
    </row>
    <row r="44" ht="13" customHeight="1">
      <c r="B44" s="130" t="n"/>
      <c r="D44" s="111" t="n"/>
      <c r="E44" s="124" t="n"/>
      <c r="G44" s="193" t="n"/>
      <c r="H44" s="124" t="n"/>
      <c r="J44" s="193" t="n"/>
      <c r="K44" s="124" t="n"/>
      <c r="M44" s="193" t="n"/>
      <c r="N44" s="124" t="n"/>
      <c r="P44" s="193" t="n"/>
      <c r="Q44" s="112" t="n"/>
      <c r="R44" s="112" t="n"/>
    </row>
    <row r="45" ht="13" customHeight="1">
      <c r="B45" s="116" t="inlineStr">
        <is>
          <t>Other Expense</t>
        </is>
      </c>
      <c r="D45" s="117" t="n"/>
      <c r="E45" s="137" t="n"/>
      <c r="F45" s="93" t="n"/>
      <c r="G45" s="119" t="n"/>
      <c r="H45" s="118" t="n"/>
      <c r="I45" s="93" t="n"/>
      <c r="J45" s="119" t="n"/>
      <c r="K45" s="118" t="n"/>
      <c r="L45" s="93" t="n"/>
      <c r="M45" s="119" t="n"/>
      <c r="N45" s="118" t="n"/>
      <c r="O45" s="93" t="n"/>
      <c r="P45" s="119" t="n"/>
      <c r="Q45" s="31" t="n"/>
    </row>
    <row r="46" ht="13" customHeight="1">
      <c r="B46" s="32" t="inlineStr">
        <is>
          <t xml:space="preserve">Rooms </t>
        </is>
      </c>
      <c r="D46" s="101">
        <f>E46*D27</f>
        <v/>
      </c>
      <c r="E46" s="124" t="n">
        <v>0.2584162534885128</v>
      </c>
      <c r="F46" s="77" t="n">
        <v>0</v>
      </c>
      <c r="G46" s="193">
        <f>H46*G27</f>
        <v/>
      </c>
      <c r="H46" s="124" t="n">
        <v>0.2584162534885128</v>
      </c>
      <c r="I46" s="77" t="n">
        <v>0</v>
      </c>
      <c r="J46" s="193">
        <f>K46*J27</f>
        <v/>
      </c>
      <c r="K46" s="124" t="n">
        <v>0.2584162534885128</v>
      </c>
      <c r="L46" s="77" t="n">
        <v>0</v>
      </c>
      <c r="M46" s="193">
        <f>N46*M27</f>
        <v/>
      </c>
      <c r="N46" s="124" t="n">
        <v>0.2584162534885128</v>
      </c>
      <c r="O46" s="77" t="n">
        <v>0</v>
      </c>
      <c r="P46" s="193">
        <f>Q46*P27</f>
        <v/>
      </c>
      <c r="Q46" s="125" t="n">
        <v>0.2584162534885128</v>
      </c>
    </row>
    <row r="47" ht="13" customHeight="1">
      <c r="B47" s="100" t="inlineStr">
        <is>
          <t>Restaurant</t>
        </is>
      </c>
      <c r="D47" s="101">
        <f>E47*D28</f>
        <v/>
      </c>
      <c r="E47" s="124" t="n">
        <v>0.05</v>
      </c>
      <c r="F47" s="77" t="n">
        <v>0</v>
      </c>
      <c r="G47" s="193">
        <f>H47*G28</f>
        <v/>
      </c>
      <c r="H47" s="124" t="n">
        <v>0.05</v>
      </c>
      <c r="I47" s="77" t="n">
        <v>0</v>
      </c>
      <c r="J47" s="193">
        <f>K47*J28</f>
        <v/>
      </c>
      <c r="K47" s="124" t="n">
        <v>0.05</v>
      </c>
      <c r="L47" s="77" t="n">
        <v>0</v>
      </c>
      <c r="M47" s="193">
        <f>N47*M28</f>
        <v/>
      </c>
      <c r="N47" s="124" t="n">
        <v>0.05</v>
      </c>
      <c r="O47" s="77" t="n">
        <v>0</v>
      </c>
      <c r="P47" s="193">
        <f>Q47*P28</f>
        <v/>
      </c>
      <c r="Q47" s="125" t="n">
        <v>0.05</v>
      </c>
    </row>
    <row r="48" ht="13" customHeight="1">
      <c r="B48" s="100" t="inlineStr">
        <is>
          <t>MOD + Roof Top Bar</t>
        </is>
      </c>
      <c r="D48" s="101">
        <f>E48*D29</f>
        <v/>
      </c>
      <c r="E48" s="124" t="n">
        <v>0.05</v>
      </c>
      <c r="F48" s="77" t="n">
        <v>0</v>
      </c>
      <c r="G48" s="193">
        <f>H48*G29</f>
        <v/>
      </c>
      <c r="H48" s="124" t="n">
        <v>0.05000000000000001</v>
      </c>
      <c r="I48" s="77" t="n">
        <v>0</v>
      </c>
      <c r="J48" s="193">
        <f>K48*J29</f>
        <v/>
      </c>
      <c r="K48" s="124" t="n">
        <v>0.05000000000000002</v>
      </c>
      <c r="L48" s="77" t="n">
        <v>0</v>
      </c>
      <c r="M48" s="193">
        <f>N48*M29</f>
        <v/>
      </c>
      <c r="N48" s="124" t="n">
        <v>0.05000000000000002</v>
      </c>
      <c r="O48" s="77" t="n">
        <v>0</v>
      </c>
      <c r="P48" s="193">
        <f>Q48*P29</f>
        <v/>
      </c>
      <c r="Q48" s="125" t="n">
        <v>0.05000000000000001</v>
      </c>
    </row>
    <row r="49" ht="13" customHeight="1">
      <c r="B49" s="104" t="inlineStr">
        <is>
          <t xml:space="preserve">Total </t>
        </is>
      </c>
      <c r="D49" s="105">
        <f>D46+D47+D48</f>
        <v/>
      </c>
      <c r="E49" s="106">
        <f>D49/D$31</f>
        <v/>
      </c>
      <c r="F49" s="107" t="n"/>
      <c r="G49" s="108">
        <f>G46+G47+G48</f>
        <v/>
      </c>
      <c r="H49" s="106">
        <f>G49/G$31</f>
        <v/>
      </c>
      <c r="I49" s="107" t="n"/>
      <c r="J49" s="108">
        <f>J46+J47+J48</f>
        <v/>
      </c>
      <c r="K49" s="106">
        <f>J49/J$31</f>
        <v/>
      </c>
      <c r="L49" s="107" t="n"/>
      <c r="M49" s="108">
        <f>M46+M47+M48</f>
        <v/>
      </c>
      <c r="N49" s="106">
        <f>M49/M$31</f>
        <v/>
      </c>
      <c r="O49" s="107" t="n"/>
      <c r="P49" s="108">
        <f>P46+P47+P48</f>
        <v/>
      </c>
      <c r="Q49" s="109">
        <f>P49/P$31</f>
        <v/>
      </c>
    </row>
    <row r="50" ht="13" customHeight="1">
      <c r="B50" s="130" t="n"/>
      <c r="D50" s="111" t="n"/>
      <c r="E50" s="124" t="n"/>
      <c r="F50" s="9" t="n"/>
      <c r="G50" s="219" t="n"/>
      <c r="H50" s="114" t="n"/>
      <c r="I50" s="9" t="n"/>
      <c r="J50" s="219" t="n"/>
      <c r="K50" s="114" t="n"/>
      <c r="L50" s="9" t="n"/>
      <c r="M50" s="219" t="n"/>
      <c r="N50" s="114" t="n"/>
      <c r="O50" s="9" t="n"/>
      <c r="P50" s="219" t="n"/>
      <c r="Q50" s="112" t="n"/>
      <c r="R50" s="112" t="n"/>
    </row>
    <row r="51" ht="13" customHeight="1">
      <c r="B51" s="116" t="inlineStr">
        <is>
          <t>Department Expense</t>
        </is>
      </c>
      <c r="D51" s="117" t="n"/>
      <c r="E51" s="137" t="n"/>
      <c r="F51" s="138" t="n"/>
      <c r="G51" s="139" t="n"/>
      <c r="H51" s="140" t="n"/>
      <c r="I51" s="138" t="n"/>
      <c r="J51" s="139" t="n"/>
      <c r="K51" s="140" t="n"/>
      <c r="L51" s="138" t="n"/>
      <c r="M51" s="139" t="n"/>
      <c r="N51" s="140" t="n"/>
      <c r="O51" s="138" t="n"/>
      <c r="P51" s="139" t="n"/>
      <c r="Q51" s="31" t="n"/>
    </row>
    <row r="52" ht="13" customHeight="1">
      <c r="B52" s="32" t="inlineStr">
        <is>
          <t xml:space="preserve">Rooms </t>
        </is>
      </c>
      <c r="D52" s="101">
        <f>D34+D40+D46</f>
        <v/>
      </c>
      <c r="E52" s="124">
        <f>D52/D$27</f>
        <v/>
      </c>
      <c r="F52" s="9" t="n"/>
      <c r="G52" s="193">
        <f>G34+G40+G46</f>
        <v/>
      </c>
      <c r="H52" s="124">
        <f>G52/G$27</f>
        <v/>
      </c>
      <c r="I52" s="9" t="n"/>
      <c r="J52" s="193">
        <f>J34+J40+J46</f>
        <v/>
      </c>
      <c r="K52" s="124">
        <f>J52/J$27</f>
        <v/>
      </c>
      <c r="L52" s="9" t="n"/>
      <c r="M52" s="193">
        <f>M34+M40+M46</f>
        <v/>
      </c>
      <c r="N52" s="124">
        <f>M52/M$27</f>
        <v/>
      </c>
      <c r="O52" s="9" t="n"/>
      <c r="P52" s="193">
        <f>P34+P40+P46</f>
        <v/>
      </c>
      <c r="Q52" s="125">
        <f>P52/P$27</f>
        <v/>
      </c>
    </row>
    <row r="53" ht="13" customHeight="1">
      <c r="B53" s="100" t="inlineStr">
        <is>
          <t>Restaurant</t>
        </is>
      </c>
      <c r="D53" s="101">
        <f>D35+D41+D47</f>
        <v/>
      </c>
      <c r="E53" s="124">
        <f>D53/D$28</f>
        <v/>
      </c>
      <c r="F53" s="9" t="n"/>
      <c r="G53" s="193">
        <f>G35+G41+G47</f>
        <v/>
      </c>
      <c r="H53" s="124">
        <f>G53/G$28</f>
        <v/>
      </c>
      <c r="I53" s="9" t="n"/>
      <c r="J53" s="193">
        <f>J35+J41+J47</f>
        <v/>
      </c>
      <c r="K53" s="124">
        <f>J53/J$28</f>
        <v/>
      </c>
      <c r="L53" s="9" t="n"/>
      <c r="M53" s="193">
        <f>M35+M41+M47</f>
        <v/>
      </c>
      <c r="N53" s="124">
        <f>M53/M$28</f>
        <v/>
      </c>
      <c r="O53" s="9" t="n"/>
      <c r="P53" s="193">
        <f>P35+P41+P47</f>
        <v/>
      </c>
      <c r="Q53" s="125">
        <f>P53/P$28</f>
        <v/>
      </c>
    </row>
    <row r="54" ht="13" customHeight="1">
      <c r="B54" s="100" t="inlineStr">
        <is>
          <t>MOD + Roof Top Bar</t>
        </is>
      </c>
      <c r="D54" s="101">
        <f>D36+D42+D48</f>
        <v/>
      </c>
      <c r="E54" s="124">
        <f>D54/D$29</f>
        <v/>
      </c>
      <c r="F54" s="77" t="n"/>
      <c r="G54" s="184">
        <f>G36+G42+G48</f>
        <v/>
      </c>
      <c r="H54" s="124">
        <f>G54/G$29</f>
        <v/>
      </c>
      <c r="I54" s="77" t="n"/>
      <c r="J54" s="184">
        <f>J36+J42+J48</f>
        <v/>
      </c>
      <c r="K54" s="124">
        <f>J54/J$29</f>
        <v/>
      </c>
      <c r="L54" s="77" t="n"/>
      <c r="M54" s="184">
        <f>M36+M42+M48</f>
        <v/>
      </c>
      <c r="N54" s="124">
        <f>M54/M$29</f>
        <v/>
      </c>
      <c r="O54" s="77" t="n"/>
      <c r="P54" s="184">
        <f>P36+P42+P48</f>
        <v/>
      </c>
      <c r="Q54" s="125">
        <f>P54/P$29</f>
        <v/>
      </c>
    </row>
    <row r="55" ht="13" customFormat="1" customHeight="1" s="9">
      <c r="B55" s="104" t="inlineStr">
        <is>
          <t xml:space="preserve">Total </t>
        </is>
      </c>
      <c r="D55" s="105">
        <f>D52+D53+D54</f>
        <v/>
      </c>
      <c r="E55" s="106">
        <f>D55/D$31</f>
        <v/>
      </c>
      <c r="F55" s="107" t="n"/>
      <c r="G55" s="108">
        <f>G52+G53+G54</f>
        <v/>
      </c>
      <c r="H55" s="106">
        <f>G55/G$31</f>
        <v/>
      </c>
      <c r="I55" s="107" t="n"/>
      <c r="J55" s="108">
        <f>J52+J53+J54</f>
        <v/>
      </c>
      <c r="K55" s="106">
        <f>J55/J$31</f>
        <v/>
      </c>
      <c r="L55" s="107" t="n"/>
      <c r="M55" s="108">
        <f>M52+M53+M54</f>
        <v/>
      </c>
      <c r="N55" s="106">
        <f>M55/M$31</f>
        <v/>
      </c>
      <c r="O55" s="107" t="n"/>
      <c r="P55" s="108">
        <f>P52+P53+P54</f>
        <v/>
      </c>
      <c r="Q55" s="109">
        <f>P55/P$31</f>
        <v/>
      </c>
      <c r="S55" s="141" t="n">
        <v>359488808.5588272</v>
      </c>
      <c r="T55" s="66" t="inlineStr">
        <is>
          <t>Depart Exp Year 1</t>
        </is>
      </c>
    </row>
    <row r="56" ht="13" customHeight="1">
      <c r="B56" s="130" t="n"/>
      <c r="D56" s="111" t="n"/>
      <c r="E56" s="124" t="n"/>
      <c r="F56" s="9" t="n"/>
      <c r="G56" s="193" t="n"/>
      <c r="H56" s="124" t="n"/>
      <c r="I56" s="9" t="n"/>
      <c r="J56" s="193" t="n"/>
      <c r="K56" s="124" t="n"/>
      <c r="L56" s="9" t="n"/>
      <c r="M56" s="193" t="n"/>
      <c r="N56" s="124" t="n"/>
      <c r="O56" s="9" t="n"/>
      <c r="P56" s="193" t="n"/>
      <c r="Q56" s="112" t="n"/>
      <c r="R56" s="112" t="n"/>
      <c r="T56" s="66" t="n"/>
    </row>
    <row r="57" ht="13" customHeight="1">
      <c r="B57" s="116" t="inlineStr">
        <is>
          <t>Department Profit</t>
        </is>
      </c>
      <c r="D57" s="117" t="n"/>
      <c r="E57" s="137" t="n"/>
      <c r="F57" s="138" t="n"/>
      <c r="G57" s="139" t="n"/>
      <c r="H57" s="140" t="n"/>
      <c r="I57" s="138" t="n"/>
      <c r="J57" s="139" t="n"/>
      <c r="K57" s="140" t="n"/>
      <c r="L57" s="138" t="n"/>
      <c r="M57" s="139" t="n"/>
      <c r="N57" s="140" t="n"/>
      <c r="O57" s="138" t="n"/>
      <c r="P57" s="139" t="n"/>
      <c r="Q57" s="31" t="n"/>
      <c r="T57" s="66" t="n"/>
    </row>
    <row r="58" ht="13" customHeight="1">
      <c r="B58" s="32" t="inlineStr">
        <is>
          <t xml:space="preserve">Rooms </t>
        </is>
      </c>
      <c r="D58" s="101">
        <f>D27-D52</f>
        <v/>
      </c>
      <c r="E58" s="124">
        <f>D58/D$27</f>
        <v/>
      </c>
      <c r="F58" s="9" t="n"/>
      <c r="G58" s="193">
        <f>G27-G52</f>
        <v/>
      </c>
      <c r="H58" s="124">
        <f>G58/G$27</f>
        <v/>
      </c>
      <c r="I58" s="9" t="n"/>
      <c r="J58" s="193">
        <f>J27-J52</f>
        <v/>
      </c>
      <c r="K58" s="124">
        <f>J58/J$27</f>
        <v/>
      </c>
      <c r="L58" s="9" t="n"/>
      <c r="M58" s="193">
        <f>M27-M52</f>
        <v/>
      </c>
      <c r="N58" s="124">
        <f>M58/M$27</f>
        <v/>
      </c>
      <c r="O58" s="9" t="n"/>
      <c r="P58" s="193">
        <f>P27-P52</f>
        <v/>
      </c>
      <c r="Q58" s="125">
        <f>P58/P$27</f>
        <v/>
      </c>
      <c r="T58" s="66" t="n"/>
    </row>
    <row r="59" ht="13" customHeight="1">
      <c r="B59" s="100" t="inlineStr">
        <is>
          <t>Restaurant</t>
        </is>
      </c>
      <c r="D59" s="101">
        <f>D28-D53</f>
        <v/>
      </c>
      <c r="E59" s="124">
        <f>D59/D$28</f>
        <v/>
      </c>
      <c r="F59" s="9" t="n"/>
      <c r="G59" s="193">
        <f>G28-G53</f>
        <v/>
      </c>
      <c r="H59" s="124">
        <f>G59/G$28</f>
        <v/>
      </c>
      <c r="I59" s="9" t="n"/>
      <c r="J59" s="193">
        <f>J28-J53</f>
        <v/>
      </c>
      <c r="K59" s="124">
        <f>J59/J$28</f>
        <v/>
      </c>
      <c r="L59" s="9" t="n"/>
      <c r="M59" s="193">
        <f>M28-M53</f>
        <v/>
      </c>
      <c r="N59" s="124">
        <f>M59/M$28</f>
        <v/>
      </c>
      <c r="O59" s="9" t="n"/>
      <c r="P59" s="193">
        <f>P28-P53</f>
        <v/>
      </c>
      <c r="Q59" s="125">
        <f>P59/P$28</f>
        <v/>
      </c>
      <c r="T59" s="66" t="n"/>
    </row>
    <row r="60" ht="13" customHeight="1">
      <c r="B60" s="100" t="inlineStr">
        <is>
          <t>MOD + Roof Top Bar</t>
        </is>
      </c>
      <c r="D60" s="101">
        <f>D29-D54</f>
        <v/>
      </c>
      <c r="E60" s="124">
        <f>D60/D$29</f>
        <v/>
      </c>
      <c r="F60" s="77" t="n"/>
      <c r="G60" s="184">
        <f>G29-G54</f>
        <v/>
      </c>
      <c r="H60" s="124">
        <f>G60/G$29</f>
        <v/>
      </c>
      <c r="I60" s="77" t="n"/>
      <c r="J60" s="184">
        <f>J29-J54</f>
        <v/>
      </c>
      <c r="K60" s="124">
        <f>J60/J$29</f>
        <v/>
      </c>
      <c r="L60" s="77" t="n"/>
      <c r="M60" s="184">
        <f>M29-M54</f>
        <v/>
      </c>
      <c r="N60" s="124">
        <f>M60/M$29</f>
        <v/>
      </c>
      <c r="O60" s="77" t="n"/>
      <c r="P60" s="184">
        <f>P29-P54</f>
        <v/>
      </c>
      <c r="Q60" s="125">
        <f>P60/P$29</f>
        <v/>
      </c>
      <c r="T60" s="66" t="n"/>
    </row>
    <row r="61" ht="13" customHeight="1">
      <c r="B61" s="100" t="inlineStr">
        <is>
          <t>Service Charge (Restaurant + MOD)</t>
        </is>
      </c>
      <c r="C61" s="77" t="n"/>
      <c r="D61" s="101">
        <f>D30</f>
        <v/>
      </c>
      <c r="E61" s="124">
        <f>D61/D$30</f>
        <v/>
      </c>
      <c r="F61" s="77" t="n"/>
      <c r="G61" s="184">
        <f>G30</f>
        <v/>
      </c>
      <c r="H61" s="124">
        <f>G61/G$30</f>
        <v/>
      </c>
      <c r="I61" s="77" t="n"/>
      <c r="J61" s="184">
        <f>J30</f>
        <v/>
      </c>
      <c r="K61" s="124">
        <f>J61/J$30</f>
        <v/>
      </c>
      <c r="L61" s="77" t="n"/>
      <c r="M61" s="184">
        <f>M30</f>
        <v/>
      </c>
      <c r="N61" s="124">
        <f>M61/M$30</f>
        <v/>
      </c>
      <c r="O61" s="77" t="n"/>
      <c r="P61" s="184">
        <f>P30</f>
        <v/>
      </c>
      <c r="Q61" s="125">
        <f>P61/P$30</f>
        <v/>
      </c>
      <c r="T61" s="66" t="n"/>
    </row>
    <row r="62" ht="13" customFormat="1" customHeight="1" s="9">
      <c r="B62" s="104" t="inlineStr">
        <is>
          <t xml:space="preserve">Total </t>
        </is>
      </c>
      <c r="D62" s="105">
        <f>D58+D59+D60+D61</f>
        <v/>
      </c>
      <c r="E62" s="106">
        <f>D62/D$31</f>
        <v/>
      </c>
      <c r="F62" s="107" t="n"/>
      <c r="G62" s="108">
        <f>G58+G59+G60+G61</f>
        <v/>
      </c>
      <c r="H62" s="106">
        <f>G62/G$31</f>
        <v/>
      </c>
      <c r="I62" s="107" t="n"/>
      <c r="J62" s="108">
        <f>J58+J59+J60+J61</f>
        <v/>
      </c>
      <c r="K62" s="106">
        <f>J62/J$31</f>
        <v/>
      </c>
      <c r="L62" s="107" t="n"/>
      <c r="M62" s="108">
        <f>M58+M59+M60+M61</f>
        <v/>
      </c>
      <c r="N62" s="106">
        <f>M62/M$31</f>
        <v/>
      </c>
      <c r="O62" s="107" t="n"/>
      <c r="P62" s="108">
        <f>P58+P59+P60+P61</f>
        <v/>
      </c>
      <c r="Q62" s="109">
        <f>P62/P$31</f>
        <v/>
      </c>
      <c r="T62" s="66" t="n"/>
    </row>
    <row r="63" ht="13" customHeight="1">
      <c r="D63" s="111" t="n"/>
      <c r="E63" s="124" t="n"/>
      <c r="G63" s="111" t="n"/>
      <c r="J63" s="111" t="n"/>
      <c r="M63" s="111" t="n"/>
      <c r="P63" s="111" t="n"/>
      <c r="Q63" s="111" t="n"/>
      <c r="T63" s="66" t="n"/>
    </row>
    <row r="64" ht="13" customHeight="1">
      <c r="B64" s="91" t="inlineStr">
        <is>
          <t>Undistributable Expense</t>
        </is>
      </c>
      <c r="D64" s="117" t="n"/>
      <c r="E64" s="93" t="n"/>
      <c r="F64" s="29" t="n"/>
      <c r="G64" s="119" t="n"/>
      <c r="H64" s="93" t="n"/>
      <c r="I64" s="29" t="n"/>
      <c r="J64" s="119" t="n"/>
      <c r="K64" s="93" t="n"/>
      <c r="L64" s="29" t="n"/>
      <c r="M64" s="119" t="n"/>
      <c r="N64" s="93" t="n"/>
      <c r="O64" s="29" t="n"/>
      <c r="P64" s="119" t="n"/>
      <c r="Q64" s="31" t="n"/>
      <c r="S64" s="35" t="n"/>
      <c r="T64" s="66" t="n"/>
    </row>
    <row r="65" ht="13" customHeight="1">
      <c r="B65" s="32" t="inlineStr">
        <is>
          <t>Administration and General</t>
        </is>
      </c>
      <c r="D65" s="101">
        <f>D66+D67</f>
        <v/>
      </c>
      <c r="E65" s="124">
        <f>D65/D$31</f>
        <v/>
      </c>
      <c r="F65" s="77" t="n"/>
      <c r="G65" s="193">
        <f>G66+G67</f>
        <v/>
      </c>
      <c r="H65" s="124">
        <f>G65/G$31</f>
        <v/>
      </c>
      <c r="I65" s="77" t="n"/>
      <c r="J65" s="193">
        <f>J66+J67</f>
        <v/>
      </c>
      <c r="K65" s="124">
        <f>J65/J$31</f>
        <v/>
      </c>
      <c r="L65" s="77" t="n"/>
      <c r="M65" s="193">
        <f>M66+M67</f>
        <v/>
      </c>
      <c r="N65" s="124">
        <f>M65/M$31</f>
        <v/>
      </c>
      <c r="O65" s="77" t="n"/>
      <c r="P65" s="193">
        <f>P66+P67</f>
        <v/>
      </c>
      <c r="Q65" s="125">
        <f>P65/P$31</f>
        <v/>
      </c>
      <c r="T65" s="66" t="n"/>
    </row>
    <row r="66" ht="13" customHeight="1">
      <c r="B66" s="32" t="inlineStr">
        <is>
          <t xml:space="preserve">  Personnel</t>
        </is>
      </c>
      <c r="D66" s="101" t="n">
        <v>8240000</v>
      </c>
      <c r="E66" s="124" t="n">
        <v>0.008437320811592638</v>
      </c>
      <c r="F66" s="132" t="inlineStr">
        <is>
          <t>Dept</t>
        </is>
      </c>
      <c r="G66" s="184">
        <f>D66</f>
        <v/>
      </c>
      <c r="H66" s="124" t="n">
        <v>0.007892843803193259</v>
      </c>
      <c r="I66" s="132" t="inlineStr">
        <is>
          <t>Dept</t>
        </is>
      </c>
      <c r="J66" s="184">
        <f>G66</f>
        <v/>
      </c>
      <c r="K66" s="124" t="n">
        <v>0.007470552461383023</v>
      </c>
      <c r="L66" s="132" t="inlineStr">
        <is>
          <t>Dept</t>
        </is>
      </c>
      <c r="M66" s="184">
        <f>J66</f>
        <v/>
      </c>
      <c r="N66" s="124" t="n">
        <v>0.007187570158175191</v>
      </c>
      <c r="O66" s="132" t="inlineStr">
        <is>
          <t>Dept</t>
        </is>
      </c>
      <c r="P66" s="184">
        <f>M66</f>
        <v/>
      </c>
      <c r="Q66" s="125" t="n">
        <v>0.006960688589196612</v>
      </c>
      <c r="T66" s="143" t="n"/>
    </row>
    <row r="67" ht="13" customHeight="1">
      <c r="B67" s="32" t="inlineStr">
        <is>
          <t xml:space="preserve">  Other </t>
        </is>
      </c>
      <c r="D67" s="101" t="n">
        <v>40543678.66679813</v>
      </c>
      <c r="E67" s="124">
        <f>D67/D$31</f>
        <v/>
      </c>
      <c r="F67" s="77" t="n">
        <v>0</v>
      </c>
      <c r="G67" s="184">
        <f>D67*(1+F67)</f>
        <v/>
      </c>
      <c r="H67" s="124">
        <f>G67/G$31</f>
        <v/>
      </c>
      <c r="I67" s="77" t="n">
        <v>0</v>
      </c>
      <c r="J67" s="184">
        <f>G67*(1+I67)</f>
        <v/>
      </c>
      <c r="K67" s="124">
        <f>J67/J$31</f>
        <v/>
      </c>
      <c r="L67" s="77" t="n">
        <v>0.01</v>
      </c>
      <c r="M67" s="184">
        <f>J67*(1+L67)</f>
        <v/>
      </c>
      <c r="N67" s="124">
        <f>M67/M$31</f>
        <v/>
      </c>
      <c r="O67" s="77" t="n">
        <v>0.01</v>
      </c>
      <c r="P67" s="184">
        <f>M67*(1+O67)</f>
        <v/>
      </c>
      <c r="Q67" s="125">
        <f>P67/P$31</f>
        <v/>
      </c>
      <c r="S67" s="35" t="n"/>
      <c r="T67" s="66" t="n"/>
    </row>
    <row r="68" ht="13" customHeight="1">
      <c r="B68" s="32" t="inlineStr">
        <is>
          <t>Sales and Marketing</t>
        </is>
      </c>
      <c r="D68" s="101">
        <f>D69+D70</f>
        <v/>
      </c>
      <c r="E68" s="124">
        <f>D68/D$31</f>
        <v/>
      </c>
      <c r="F68" s="77" t="n"/>
      <c r="G68" s="193">
        <f>G69+G70</f>
        <v/>
      </c>
      <c r="H68" s="124">
        <f>G68/G$31</f>
        <v/>
      </c>
      <c r="I68" s="77" t="n"/>
      <c r="J68" s="193">
        <f>J69+J70</f>
        <v/>
      </c>
      <c r="K68" s="124">
        <f>J68/J$31</f>
        <v/>
      </c>
      <c r="L68" s="77" t="n"/>
      <c r="M68" s="193">
        <f>M69+M70</f>
        <v/>
      </c>
      <c r="N68" s="124">
        <f>M68/M$31</f>
        <v/>
      </c>
      <c r="O68" s="77" t="n"/>
      <c r="P68" s="193">
        <f>P69+P70</f>
        <v/>
      </c>
      <c r="Q68" s="125">
        <f>P68/P$31</f>
        <v/>
      </c>
      <c r="S68" s="61" t="n"/>
    </row>
    <row r="69" ht="13" customHeight="1">
      <c r="B69" s="32" t="inlineStr">
        <is>
          <t xml:space="preserve">  Personnel</t>
        </is>
      </c>
      <c r="D69" s="101" t="n">
        <v>0</v>
      </c>
      <c r="E69" s="124" t="n">
        <v>0</v>
      </c>
      <c r="F69" s="132" t="inlineStr">
        <is>
          <t>Dept</t>
        </is>
      </c>
      <c r="G69" s="184">
        <f>D69</f>
        <v/>
      </c>
      <c r="H69" s="124" t="n">
        <v>0</v>
      </c>
      <c r="I69" s="132" t="inlineStr">
        <is>
          <t>Dept</t>
        </is>
      </c>
      <c r="J69" s="184">
        <f>G69</f>
        <v/>
      </c>
      <c r="K69" s="124" t="n">
        <v>0</v>
      </c>
      <c r="L69" s="132" t="inlineStr">
        <is>
          <t>Dept</t>
        </is>
      </c>
      <c r="M69" s="184">
        <f>J69</f>
        <v/>
      </c>
      <c r="N69" s="124" t="n">
        <v>0</v>
      </c>
      <c r="O69" s="132" t="inlineStr">
        <is>
          <t>Dept</t>
        </is>
      </c>
      <c r="P69" s="184">
        <f>M69</f>
        <v/>
      </c>
      <c r="Q69" s="125" t="n">
        <v>0</v>
      </c>
    </row>
    <row r="70" ht="13" customHeight="1">
      <c r="B70" s="32" t="inlineStr">
        <is>
          <t xml:space="preserve">  Other </t>
        </is>
      </c>
      <c r="D70" s="101" t="n">
        <v>19065948.12130773</v>
      </c>
      <c r="E70" s="124">
        <f>D70/D$31</f>
        <v/>
      </c>
      <c r="F70" s="144" t="inlineStr">
        <is>
          <t>below</t>
        </is>
      </c>
      <c r="G70" s="193">
        <f>H70*G31</f>
        <v/>
      </c>
      <c r="H70" s="124" t="n">
        <v>0.02</v>
      </c>
      <c r="I70" s="144" t="inlineStr">
        <is>
          <t>below</t>
        </is>
      </c>
      <c r="J70" s="193">
        <f>K70*J31</f>
        <v/>
      </c>
      <c r="K70" s="124" t="n">
        <v>0.02</v>
      </c>
      <c r="L70" s="144" t="inlineStr">
        <is>
          <t>below</t>
        </is>
      </c>
      <c r="M70" s="193">
        <f>N70*M31</f>
        <v/>
      </c>
      <c r="N70" s="124" t="n">
        <v>0.02</v>
      </c>
      <c r="O70" s="144" t="inlineStr">
        <is>
          <t>below</t>
        </is>
      </c>
      <c r="P70" s="193">
        <f>Q70*P31</f>
        <v/>
      </c>
      <c r="Q70" s="125" t="n">
        <v>0.02</v>
      </c>
    </row>
    <row r="71" ht="13" customHeight="1">
      <c r="B71" s="32" t="inlineStr">
        <is>
          <t>Maintenance / Engineer</t>
        </is>
      </c>
      <c r="D71" s="101">
        <f>D72+D73</f>
        <v/>
      </c>
      <c r="E71" s="124">
        <f>D71/D$31</f>
        <v/>
      </c>
      <c r="F71" s="77" t="n"/>
      <c r="G71" s="193">
        <f>G72+G73</f>
        <v/>
      </c>
      <c r="H71" s="124">
        <f>G71/G$31</f>
        <v/>
      </c>
      <c r="I71" s="77" t="n"/>
      <c r="J71" s="193">
        <f>J72+J73</f>
        <v/>
      </c>
      <c r="K71" s="124">
        <f>J71/J$31</f>
        <v/>
      </c>
      <c r="L71" s="77" t="n"/>
      <c r="M71" s="193">
        <f>M72+M73</f>
        <v/>
      </c>
      <c r="N71" s="124">
        <f>M71/M$31</f>
        <v/>
      </c>
      <c r="O71" s="77" t="n"/>
      <c r="P71" s="193">
        <f>P72+P73</f>
        <v/>
      </c>
      <c r="Q71" s="125">
        <f>P71/P$31</f>
        <v/>
      </c>
    </row>
    <row r="72" ht="13" customHeight="1">
      <c r="B72" s="32" t="inlineStr">
        <is>
          <t xml:space="preserve">  Personnel</t>
        </is>
      </c>
      <c r="D72" s="101" t="n">
        <v>0</v>
      </c>
      <c r="E72" s="124" t="n">
        <v>0</v>
      </c>
      <c r="F72" s="132" t="inlineStr">
        <is>
          <t>Dept</t>
        </is>
      </c>
      <c r="G72" s="184">
        <f>D72</f>
        <v/>
      </c>
      <c r="H72" s="124" t="n">
        <v>0</v>
      </c>
      <c r="I72" s="132" t="inlineStr">
        <is>
          <t>Dept</t>
        </is>
      </c>
      <c r="J72" s="184">
        <f>G72</f>
        <v/>
      </c>
      <c r="K72" s="124" t="n">
        <v>0</v>
      </c>
      <c r="L72" s="132" t="inlineStr">
        <is>
          <t>Dept</t>
        </is>
      </c>
      <c r="M72" s="184">
        <f>J72</f>
        <v/>
      </c>
      <c r="N72" s="124" t="n">
        <v>0</v>
      </c>
      <c r="O72" s="132" t="inlineStr">
        <is>
          <t>Dept</t>
        </is>
      </c>
      <c r="P72" s="184">
        <f>M72</f>
        <v/>
      </c>
      <c r="Q72" s="125" t="n">
        <v>0</v>
      </c>
    </row>
    <row r="73" ht="13" customHeight="1">
      <c r="B73" s="32" t="inlineStr">
        <is>
          <t xml:space="preserve">  Other </t>
        </is>
      </c>
      <c r="D73" s="101" t="n">
        <v>25704134.06065387</v>
      </c>
      <c r="E73" s="124">
        <f>D73/D$31</f>
        <v/>
      </c>
      <c r="F73" s="77" t="n">
        <v>0</v>
      </c>
      <c r="G73" s="184">
        <f>D73*(1+F73)</f>
        <v/>
      </c>
      <c r="H73" s="124">
        <f>G73/G$31</f>
        <v/>
      </c>
      <c r="I73" s="77" t="n">
        <v>0</v>
      </c>
      <c r="J73" s="184">
        <f>G73*(1+I73)</f>
        <v/>
      </c>
      <c r="K73" s="124">
        <f>J73/J$31</f>
        <v/>
      </c>
      <c r="L73" s="77" t="n">
        <v>0.01</v>
      </c>
      <c r="M73" s="184">
        <f>J73*(1+L73)</f>
        <v/>
      </c>
      <c r="N73" s="124">
        <f>M73/M$31</f>
        <v/>
      </c>
      <c r="O73" s="77" t="n">
        <v>0.01</v>
      </c>
      <c r="P73" s="184">
        <f>M73*(1+O73)</f>
        <v/>
      </c>
      <c r="Q73" s="125">
        <f>P73/P$31</f>
        <v/>
      </c>
    </row>
    <row r="74" ht="13" customHeight="1">
      <c r="B74" s="145" t="inlineStr">
        <is>
          <t xml:space="preserve">Utilities </t>
        </is>
      </c>
      <c r="C74" t="n">
        <v>900</v>
      </c>
      <c r="D74" s="101">
        <f>$C$74*D13</f>
        <v/>
      </c>
      <c r="E74" s="124">
        <f>D74/D$31</f>
        <v/>
      </c>
      <c r="F74" s="8" t="n"/>
      <c r="G74" s="184">
        <f>$C$74*G13</f>
        <v/>
      </c>
      <c r="H74" s="124">
        <f>G74/G$31</f>
        <v/>
      </c>
      <c r="I74" s="8" t="n"/>
      <c r="J74" s="184">
        <f>$C$74*J13</f>
        <v/>
      </c>
      <c r="K74" s="124">
        <f>J74/J$31</f>
        <v/>
      </c>
      <c r="L74" s="8" t="n"/>
      <c r="M74" s="184">
        <f>$C$74*M13</f>
        <v/>
      </c>
      <c r="N74" s="124">
        <f>M74/M$31</f>
        <v/>
      </c>
      <c r="O74" s="8" t="n"/>
      <c r="P74" s="184">
        <f>$C$74*P13</f>
        <v/>
      </c>
      <c r="Q74" s="125">
        <f>P74/P$31</f>
        <v/>
      </c>
    </row>
    <row r="75" ht="13" customHeight="1">
      <c r="B75" s="146" t="inlineStr">
        <is>
          <t>Total</t>
        </is>
      </c>
      <c r="D75" s="147">
        <f>D65+D68+D71+D74</f>
        <v/>
      </c>
      <c r="E75" s="148">
        <f>D75/D$31</f>
        <v/>
      </c>
      <c r="F75" s="149" t="n"/>
      <c r="G75" s="170">
        <f>G65+G68+G71+G74</f>
        <v/>
      </c>
      <c r="H75" s="148">
        <f>G75/G$31</f>
        <v/>
      </c>
      <c r="I75" s="149" t="n"/>
      <c r="J75" s="170">
        <f>J65+J68+J71+J74</f>
        <v/>
      </c>
      <c r="K75" s="148">
        <f>J75/J$31</f>
        <v/>
      </c>
      <c r="L75" s="149" t="n"/>
      <c r="M75" s="170">
        <f>M65+M68+M71+M74</f>
        <v/>
      </c>
      <c r="N75" s="148">
        <f>M75/M$31</f>
        <v/>
      </c>
      <c r="O75" s="149" t="n"/>
      <c r="P75" s="170">
        <f>P65+P68+P71+P74</f>
        <v/>
      </c>
      <c r="Q75" s="151">
        <f>P75/P$31</f>
        <v/>
      </c>
      <c r="S75" s="152" t="n">
        <v>129009911.7300547</v>
      </c>
      <c r="T75" s="66" t="inlineStr">
        <is>
          <t>Undist Exp Year 1</t>
        </is>
      </c>
      <c r="U75" s="9" t="n"/>
    </row>
    <row r="76" ht="13" customHeight="1">
      <c r="A76" s="101" t="n"/>
      <c r="B76" s="184" t="n"/>
      <c r="C76" s="184" t="n"/>
      <c r="D76" s="101" t="n"/>
      <c r="E76" s="124" t="n"/>
      <c r="F76" s="8" t="n"/>
      <c r="G76" s="184" t="n"/>
      <c r="H76" s="124" t="n"/>
      <c r="I76" s="8" t="n"/>
      <c r="J76" s="184" t="n"/>
      <c r="K76" s="124" t="n"/>
      <c r="L76" s="8" t="n"/>
      <c r="M76" s="184" t="n"/>
      <c r="N76" s="124" t="n"/>
      <c r="O76" s="8" t="n"/>
      <c r="P76" s="184" t="n"/>
    </row>
    <row r="77" ht="13" customHeight="1">
      <c r="B77" s="153" t="inlineStr">
        <is>
          <t>Annual Moxy Fees</t>
        </is>
      </c>
      <c r="C77" s="184" t="n"/>
      <c r="D77" s="117" t="n"/>
      <c r="E77" s="137" t="n"/>
      <c r="F77" s="154" t="n"/>
      <c r="G77" s="155" t="n"/>
      <c r="H77" s="137" t="n"/>
      <c r="I77" s="154" t="n"/>
      <c r="J77" s="155" t="n"/>
      <c r="K77" s="137" t="n"/>
      <c r="L77" s="154" t="n"/>
      <c r="M77" s="155" t="n"/>
      <c r="N77" s="137" t="n"/>
      <c r="O77" s="154" t="n"/>
      <c r="P77" s="155" t="n"/>
      <c r="Q77" s="156" t="n"/>
      <c r="S77" s="157" t="n"/>
    </row>
    <row r="78" ht="13" customHeight="1">
      <c r="B78" s="158" t="inlineStr">
        <is>
          <t xml:space="preserve">  FC Fee (see below calculation)</t>
        </is>
      </c>
      <c r="D78" s="101" t="n">
        <v>21604144.08023497</v>
      </c>
      <c r="E78" s="124">
        <f>D78/D$31</f>
        <v/>
      </c>
      <c r="F78" s="8" t="n"/>
      <c r="G78" s="184" t="n">
        <v>25000000</v>
      </c>
      <c r="H78" s="124">
        <f>G78/G$31</f>
        <v/>
      </c>
      <c r="I78" s="8" t="n"/>
      <c r="J78" s="184" t="n">
        <v>25000000</v>
      </c>
      <c r="K78" s="124">
        <f>J78/J$31</f>
        <v/>
      </c>
      <c r="L78" s="8" t="n"/>
      <c r="M78" s="184" t="n">
        <v>26040206.11382651</v>
      </c>
      <c r="N78" s="124">
        <f>M78/M$31</f>
        <v/>
      </c>
      <c r="O78" s="8" t="n"/>
      <c r="P78" s="184" t="n">
        <v>27111634.45341753</v>
      </c>
      <c r="Q78" s="125">
        <f>P78/P$31</f>
        <v/>
      </c>
      <c r="S78" s="159" t="n">
        <v>0.03</v>
      </c>
      <c r="T78" s="2" t="inlineStr">
        <is>
          <t>of Room Revenues</t>
        </is>
      </c>
      <c r="U78" s="188" t="inlineStr">
        <is>
          <t>(see below calculation)</t>
        </is>
      </c>
    </row>
    <row r="79" ht="13" customHeight="1">
      <c r="B79" s="158" t="inlineStr">
        <is>
          <t xml:space="preserve">  PSF GGR</t>
        </is>
      </c>
      <c r="D79" s="101" t="n">
        <v>9481657.63209399</v>
      </c>
      <c r="E79" s="124">
        <f>D79/D$31</f>
        <v/>
      </c>
      <c r="F79" s="8" t="n"/>
      <c r="G79" s="184" t="n">
        <v>10172050.32131365</v>
      </c>
      <c r="H79" s="124">
        <f>G79/G$31</f>
        <v/>
      </c>
      <c r="I79" s="8" t="n"/>
      <c r="J79" s="184" t="n">
        <v>10784342.62702841</v>
      </c>
      <c r="K79" s="124">
        <f>J79/J$31</f>
        <v/>
      </c>
      <c r="L79" s="8" t="n"/>
      <c r="M79" s="184" t="n">
        <v>11256082.44553061</v>
      </c>
      <c r="N79" s="124">
        <f>M79/M$31</f>
        <v/>
      </c>
      <c r="O79" s="8" t="n"/>
      <c r="P79" s="184" t="n">
        <v>11684653.78136701</v>
      </c>
      <c r="Q79" s="125">
        <f>P79/P$31</f>
        <v/>
      </c>
      <c r="S79" s="161" t="n">
        <v>0.012</v>
      </c>
      <c r="T79" s="2" t="inlineStr">
        <is>
          <t>of Room Revenues</t>
        </is>
      </c>
      <c r="U79" s="220" t="n">
        <v>6000</v>
      </c>
      <c r="V79" s="2" t="inlineStr">
        <is>
          <t>flat</t>
        </is>
      </c>
      <c r="X79" s="163" t="n">
        <v>140</v>
      </c>
      <c r="Y79" s="2" t="inlineStr">
        <is>
          <t>yen/USD</t>
        </is>
      </c>
      <c r="Z79" s="221" t="n"/>
    </row>
    <row r="80" ht="13" customHeight="1">
      <c r="B80" s="158" t="inlineStr">
        <is>
          <t xml:space="preserve">  PSF GGR (2)</t>
        </is>
      </c>
      <c r="D80" s="101" t="n">
        <v>1932000</v>
      </c>
      <c r="E80" s="124">
        <f>D80/D$31</f>
        <v/>
      </c>
      <c r="F80" s="8" t="n"/>
      <c r="G80" s="184" t="n">
        <v>1932000</v>
      </c>
      <c r="H80" s="124">
        <f>G80/G$31</f>
        <v/>
      </c>
      <c r="I80" s="8" t="n"/>
      <c r="J80" s="184" t="n">
        <v>1932000</v>
      </c>
      <c r="K80" s="124">
        <f>J80/J$31</f>
        <v/>
      </c>
      <c r="L80" s="8" t="n"/>
      <c r="M80" s="184" t="n">
        <v>1932000</v>
      </c>
      <c r="N80" s="124">
        <f>M80/M$31</f>
        <v/>
      </c>
      <c r="O80" s="8" t="n"/>
      <c r="P80" s="184" t="n">
        <v>1932000</v>
      </c>
      <c r="Q80" s="125">
        <f>P80/P$31</f>
        <v/>
      </c>
      <c r="S80" s="161" t="n">
        <v>0</v>
      </c>
      <c r="T80" s="2" t="inlineStr">
        <is>
          <t>of Room Revenues</t>
        </is>
      </c>
      <c r="U80" s="220" t="n">
        <v>100</v>
      </c>
      <c r="V80" s="2" t="inlineStr">
        <is>
          <t>per key</t>
        </is>
      </c>
      <c r="X80" s="163" t="n">
        <v>140</v>
      </c>
      <c r="Y80" s="2" t="inlineStr">
        <is>
          <t>yen/USD</t>
        </is>
      </c>
    </row>
    <row r="81" ht="13" customHeight="1">
      <c r="B81" s="158" t="inlineStr">
        <is>
          <t xml:space="preserve">  Loyalty Program Fee</t>
        </is>
      </c>
      <c r="D81" s="101" t="n">
        <v>24610655.99339278</v>
      </c>
      <c r="E81" s="124">
        <f>D81/D$31</f>
        <v/>
      </c>
      <c r="F81" s="8" t="n"/>
      <c r="G81" s="184" t="n">
        <v>26308388.35502997</v>
      </c>
      <c r="H81" s="124">
        <f>G81/G$31</f>
        <v/>
      </c>
      <c r="I81" s="8" t="n"/>
      <c r="J81" s="184" t="n">
        <v>27795534.67743912</v>
      </c>
      <c r="K81" s="124">
        <f>J81/J$31</f>
        <v/>
      </c>
      <c r="L81" s="8" t="n"/>
      <c r="M81" s="184" t="n">
        <v>28889874.52370392</v>
      </c>
      <c r="N81" s="124">
        <f>M81/M$31</f>
        <v/>
      </c>
      <c r="O81" s="8" t="n"/>
      <c r="P81" s="184" t="n">
        <v>29831531.36922137</v>
      </c>
      <c r="Q81" s="125">
        <f>P81/P$31</f>
        <v/>
      </c>
      <c r="S81" s="159" t="n">
        <v>0.042</v>
      </c>
      <c r="T81" s="165" t="inlineStr">
        <is>
          <t>of GOR</t>
        </is>
      </c>
      <c r="U81" s="166" t="n">
        <v>0.6</v>
      </c>
      <c r="V81" s="2" t="inlineStr">
        <is>
          <t>of Loyalty Members</t>
        </is>
      </c>
    </row>
    <row r="82" ht="13" customHeight="1">
      <c r="B82" s="158" t="inlineStr">
        <is>
          <t xml:space="preserve">  PSF Sales &amp; Marketing</t>
        </is>
      </c>
      <c r="D82" s="101" t="n">
        <v>6481243.224070492</v>
      </c>
      <c r="E82" s="124">
        <f>D82/D$31</f>
        <v/>
      </c>
      <c r="F82" s="8" t="n"/>
      <c r="G82" s="184" t="n">
        <v>6999037.740985233</v>
      </c>
      <c r="H82" s="124">
        <f>G82/G$31</f>
        <v/>
      </c>
      <c r="I82" s="8" t="n"/>
      <c r="J82" s="184" t="n">
        <v>7458256.970271309</v>
      </c>
      <c r="K82" s="124">
        <f>J82/J$31</f>
        <v/>
      </c>
      <c r="L82" s="8" t="n"/>
      <c r="M82" s="184" t="n">
        <v>7812061.834147953</v>
      </c>
      <c r="N82" s="124">
        <f>M82/M$31</f>
        <v/>
      </c>
      <c r="O82" s="8" t="n"/>
      <c r="P82" s="184" t="n">
        <v>8133490.336025259</v>
      </c>
      <c r="Q82" s="125">
        <f>P82/P$31</f>
        <v/>
      </c>
      <c r="S82" s="161" t="n">
        <v>0.015</v>
      </c>
      <c r="T82" s="2" t="inlineStr">
        <is>
          <t>of Room Revenues</t>
        </is>
      </c>
      <c r="U82" s="166" t="n">
        <v>0.6</v>
      </c>
      <c r="V82" s="2" t="inlineStr">
        <is>
          <t>of Direct Bookings</t>
        </is>
      </c>
    </row>
    <row r="83" ht="13" customHeight="1">
      <c r="B83" s="158" t="inlineStr">
        <is>
          <t xml:space="preserve">  NA</t>
        </is>
      </c>
      <c r="D83" s="101" t="n">
        <v>0</v>
      </c>
      <c r="E83" s="124">
        <f>D83/D$31</f>
        <v/>
      </c>
      <c r="F83" s="8" t="n"/>
      <c r="G83" s="184" t="n">
        <v>0</v>
      </c>
      <c r="H83" s="124">
        <f>G83/G$31</f>
        <v/>
      </c>
      <c r="I83" s="8" t="n"/>
      <c r="J83" s="184" t="n">
        <v>0</v>
      </c>
      <c r="K83" s="124">
        <f>J83/J$31</f>
        <v/>
      </c>
      <c r="L83" s="8" t="n"/>
      <c r="M83" s="184" t="n">
        <v>0</v>
      </c>
      <c r="N83" s="124">
        <f>M83/M$31</f>
        <v/>
      </c>
      <c r="O83" s="8" t="n"/>
      <c r="P83" s="184" t="n">
        <v>0</v>
      </c>
      <c r="Q83" s="125">
        <f>P83/P$31</f>
        <v/>
      </c>
      <c r="S83" s="188" t="n"/>
      <c r="X83" s="163" t="n"/>
    </row>
    <row r="84" ht="13" customHeight="1">
      <c r="B84" s="158" t="inlineStr">
        <is>
          <t xml:space="preserve">  NA</t>
        </is>
      </c>
      <c r="D84" s="101" t="n">
        <v>0</v>
      </c>
      <c r="E84" s="124">
        <f>D84/D$31</f>
        <v/>
      </c>
      <c r="F84" s="8" t="n"/>
      <c r="G84" s="184" t="n">
        <v>0</v>
      </c>
      <c r="H84" s="124">
        <f>G84/G$31</f>
        <v/>
      </c>
      <c r="I84" s="8" t="n"/>
      <c r="J84" s="184" t="n">
        <v>0</v>
      </c>
      <c r="K84" s="124">
        <f>J84/J$31</f>
        <v/>
      </c>
      <c r="L84" s="8" t="n"/>
      <c r="M84" s="184" t="n">
        <v>0</v>
      </c>
      <c r="N84" s="124">
        <f>M84/M$31</f>
        <v/>
      </c>
      <c r="O84" s="8" t="n"/>
      <c r="P84" s="184" t="n">
        <v>0</v>
      </c>
      <c r="Q84" s="125">
        <f>P84/P$31</f>
        <v/>
      </c>
      <c r="S84" s="167" t="n"/>
      <c r="X84" s="163" t="n"/>
    </row>
    <row r="85" ht="13" customFormat="1" customHeight="1" s="9">
      <c r="B85" s="168" t="inlineStr">
        <is>
          <t>Total</t>
        </is>
      </c>
      <c r="C85" s="2" t="n"/>
      <c r="D85" s="147">
        <f>SUM(D78:D84)</f>
        <v/>
      </c>
      <c r="E85" s="148">
        <f>D85/D$31</f>
        <v/>
      </c>
      <c r="F85" s="169" t="n"/>
      <c r="G85" s="170">
        <f>SUM(G78:G84)</f>
        <v/>
      </c>
      <c r="H85" s="148">
        <f>G85/G$31</f>
        <v/>
      </c>
      <c r="I85" s="169" t="n"/>
      <c r="J85" s="170">
        <f>SUM(J78:J84)</f>
        <v/>
      </c>
      <c r="K85" s="148">
        <f>J85/J$31</f>
        <v/>
      </c>
      <c r="L85" s="169" t="n"/>
      <c r="M85" s="170">
        <f>SUM(M78:M84)</f>
        <v/>
      </c>
      <c r="N85" s="148">
        <f>M85/M$31</f>
        <v/>
      </c>
      <c r="O85" s="169" t="n"/>
      <c r="P85" s="170">
        <f>SUM(P78:P84)</f>
        <v/>
      </c>
      <c r="Q85" s="151">
        <f>P85/P$31</f>
        <v/>
      </c>
    </row>
    <row r="86" ht="13" customHeight="1">
      <c r="D86" s="184" t="n"/>
      <c r="G86" s="184" t="n"/>
      <c r="J86" s="184" t="n"/>
      <c r="M86" s="184" t="n"/>
      <c r="P86" s="184" t="n"/>
    </row>
    <row r="87" ht="13" customHeight="1">
      <c r="B87" s="171" t="inlineStr">
        <is>
          <t>House Profit</t>
        </is>
      </c>
      <c r="D87" s="172">
        <f>D62-D75-D85</f>
        <v/>
      </c>
      <c r="E87" s="173">
        <f>D87/D$31</f>
        <v/>
      </c>
      <c r="F87" s="174" t="n"/>
      <c r="G87" s="175">
        <f>G62-G75-G85</f>
        <v/>
      </c>
      <c r="H87" s="173">
        <f>G87/G$31</f>
        <v/>
      </c>
      <c r="I87" s="174" t="n"/>
      <c r="J87" s="175">
        <f>J62-J75-J85</f>
        <v/>
      </c>
      <c r="K87" s="173">
        <f>J87/J$31</f>
        <v/>
      </c>
      <c r="L87" s="174" t="n"/>
      <c r="M87" s="175">
        <f>M62-M75-M85</f>
        <v/>
      </c>
      <c r="N87" s="173">
        <f>M87/M$31</f>
        <v/>
      </c>
      <c r="O87" s="174" t="n"/>
      <c r="P87" s="175">
        <f>P62-P75-P85</f>
        <v/>
      </c>
      <c r="Q87" s="176">
        <f>P87/P$31</f>
        <v/>
      </c>
    </row>
    <row r="88" ht="13" customHeight="1">
      <c r="B88" s="177" t="n"/>
      <c r="D88" s="178" t="n"/>
      <c r="E88" s="179" t="n"/>
      <c r="F88" s="180" t="n"/>
      <c r="G88" s="181" t="n"/>
      <c r="H88" s="179" t="n"/>
      <c r="I88" s="180" t="n"/>
      <c r="J88" s="181" t="n"/>
      <c r="K88" s="179" t="n"/>
      <c r="L88" s="180" t="n"/>
      <c r="M88" s="181" t="n"/>
      <c r="N88" s="179" t="n"/>
      <c r="O88" s="180" t="n"/>
      <c r="P88" s="181" t="n"/>
      <c r="Q88" s="182" t="n"/>
    </row>
    <row r="89" ht="13" customHeight="1">
      <c r="B89" s="10" t="n"/>
      <c r="D89" s="184" t="n"/>
      <c r="E89" s="124" t="n"/>
      <c r="F89" s="37" t="n"/>
      <c r="G89" s="193" t="n"/>
      <c r="H89" s="124" t="n"/>
      <c r="I89" s="37" t="n"/>
      <c r="J89" s="193" t="n"/>
      <c r="K89" s="124" t="n"/>
      <c r="L89" s="37" t="n"/>
      <c r="M89" s="193" t="n"/>
      <c r="N89" s="124" t="n"/>
      <c r="O89" s="37" t="n"/>
      <c r="P89" s="193" t="n"/>
      <c r="Q89" s="124" t="n"/>
    </row>
    <row r="90" ht="13" customHeight="1">
      <c r="B90" s="10" t="inlineStr">
        <is>
          <t>Base Management Fee</t>
        </is>
      </c>
      <c r="D90" s="184">
        <f>$R$90*D31</f>
        <v/>
      </c>
      <c r="E90" s="124">
        <f>D90/D$31</f>
        <v/>
      </c>
      <c r="F90" s="37" t="n"/>
      <c r="G90" s="193">
        <f>$R$90*G31</f>
        <v/>
      </c>
      <c r="H90" s="124">
        <f>G90/G$31</f>
        <v/>
      </c>
      <c r="I90" s="37" t="n"/>
      <c r="J90" s="193">
        <f>$R$90*J31</f>
        <v/>
      </c>
      <c r="K90" s="124">
        <f>J90/J$31</f>
        <v/>
      </c>
      <c r="L90" s="37" t="n"/>
      <c r="M90" s="193">
        <f>$R$90*M31</f>
        <v/>
      </c>
      <c r="N90" s="124">
        <f>M90/M$31</f>
        <v/>
      </c>
      <c r="O90" s="37" t="n"/>
      <c r="P90" s="193">
        <f>$R$90*P31</f>
        <v/>
      </c>
      <c r="Q90" s="124">
        <f>P90/P$31</f>
        <v/>
      </c>
      <c r="R90" s="183" t="n">
        <v>0.01</v>
      </c>
      <c r="S90" s="128" t="inlineStr">
        <is>
          <t>of GOR</t>
        </is>
      </c>
    </row>
    <row r="91" ht="13" customHeight="1">
      <c r="B91" s="10" t="n"/>
      <c r="D91" s="184" t="n"/>
      <c r="G91" s="193" t="n"/>
      <c r="J91" s="193" t="n"/>
      <c r="M91" s="193" t="n"/>
      <c r="P91" s="193" t="n"/>
    </row>
    <row r="92" ht="13" customHeight="1">
      <c r="B92" s="171" t="inlineStr">
        <is>
          <t>Gross Operating Profit</t>
        </is>
      </c>
      <c r="D92" s="172">
        <f>D87-D90</f>
        <v/>
      </c>
      <c r="E92" s="173">
        <f>D92/D$31</f>
        <v/>
      </c>
      <c r="F92" s="174" t="n"/>
      <c r="G92" s="175">
        <f>G87-G90</f>
        <v/>
      </c>
      <c r="H92" s="173">
        <f>G92/G$31</f>
        <v/>
      </c>
      <c r="I92" s="174" t="n"/>
      <c r="J92" s="175">
        <f>J87-J90</f>
        <v/>
      </c>
      <c r="K92" s="173">
        <f>J92/J$31</f>
        <v/>
      </c>
      <c r="L92" s="174" t="n"/>
      <c r="M92" s="175">
        <f>M87-M90</f>
        <v/>
      </c>
      <c r="N92" s="173">
        <f>M92/M$31</f>
        <v/>
      </c>
      <c r="O92" s="174" t="n"/>
      <c r="P92" s="175">
        <f>P87-P90</f>
        <v/>
      </c>
      <c r="Q92" s="176">
        <f>P92/P$31</f>
        <v/>
      </c>
    </row>
    <row r="93" ht="13" customHeight="1">
      <c r="B93" s="177" t="n"/>
      <c r="D93" s="178" t="n"/>
      <c r="E93" s="179" t="n"/>
      <c r="F93" s="180" t="n"/>
      <c r="G93" s="181" t="n"/>
      <c r="H93" s="179" t="n"/>
      <c r="I93" s="180" t="n"/>
      <c r="J93" s="181" t="n"/>
      <c r="K93" s="179" t="n"/>
      <c r="L93" s="180" t="n"/>
      <c r="M93" s="181" t="n"/>
      <c r="N93" s="179" t="n"/>
      <c r="O93" s="180" t="n"/>
      <c r="P93" s="181" t="n"/>
      <c r="Q93" s="182" t="n"/>
    </row>
    <row r="94" ht="13" customHeight="1">
      <c r="B94" s="130" t="n"/>
      <c r="D94" s="184" t="n"/>
      <c r="E94" s="61" t="n"/>
      <c r="G94" s="193" t="n"/>
      <c r="H94" s="61" t="n"/>
      <c r="J94" s="193" t="n"/>
      <c r="K94" s="61" t="n"/>
      <c r="M94" s="193" t="n"/>
      <c r="N94" s="61" t="n"/>
      <c r="P94" s="193" t="n"/>
      <c r="Q94" s="61" t="n"/>
    </row>
    <row r="95" ht="13" customHeight="1">
      <c r="B95" s="10" t="inlineStr">
        <is>
          <t>Incentive Fee</t>
        </is>
      </c>
      <c r="D95" s="184">
        <f>$R$95*D92</f>
        <v/>
      </c>
      <c r="E95" s="124">
        <f>D95/D$31</f>
        <v/>
      </c>
      <c r="G95" s="193">
        <f>$R$95*G92</f>
        <v/>
      </c>
      <c r="H95" s="124">
        <f>G95/G$31</f>
        <v/>
      </c>
      <c r="J95" s="193">
        <f>$R$95*J92</f>
        <v/>
      </c>
      <c r="K95" s="124">
        <f>J95/J$31</f>
        <v/>
      </c>
      <c r="M95" s="193">
        <f>$R$95*M92</f>
        <v/>
      </c>
      <c r="N95" s="124">
        <f>M95/M$31</f>
        <v/>
      </c>
      <c r="O95" s="35" t="n"/>
      <c r="P95" s="193">
        <f>$R$95*P92</f>
        <v/>
      </c>
      <c r="Q95" s="124">
        <f>P95/P$31</f>
        <v/>
      </c>
      <c r="R95" s="183" t="n">
        <v>0.09</v>
      </c>
      <c r="S95" s="128" t="inlineStr">
        <is>
          <t xml:space="preserve">of GOP </t>
        </is>
      </c>
    </row>
    <row r="96" ht="13" customHeight="1">
      <c r="B96" s="130" t="n"/>
      <c r="D96" s="184" t="n"/>
      <c r="E96" s="61" t="n"/>
      <c r="G96" s="193" t="n"/>
      <c r="H96" s="61" t="n"/>
      <c r="J96" s="193" t="n"/>
      <c r="K96" s="61" t="n"/>
      <c r="M96" s="193" t="n"/>
      <c r="N96" s="61" t="n"/>
      <c r="P96" s="193" t="n"/>
      <c r="Q96" s="61" t="n"/>
    </row>
    <row r="97" ht="13" customHeight="1">
      <c r="B97" s="185" t="inlineStr">
        <is>
          <t xml:space="preserve">Owner's Expense </t>
        </is>
      </c>
      <c r="D97" s="117" t="n"/>
      <c r="E97" s="93" t="n"/>
      <c r="F97" s="93" t="n"/>
      <c r="G97" s="119" t="n"/>
      <c r="H97" s="93" t="n"/>
      <c r="I97" s="93" t="n"/>
      <c r="J97" s="119" t="n"/>
      <c r="K97" s="93" t="n"/>
      <c r="L97" s="93" t="n"/>
      <c r="M97" s="119" t="n"/>
      <c r="N97" s="93" t="n"/>
      <c r="O97" s="93" t="n"/>
      <c r="P97" s="119" t="n"/>
      <c r="Q97" s="31" t="n"/>
      <c r="R97" s="186" t="n"/>
    </row>
    <row r="98" ht="13" customHeight="1">
      <c r="B98" s="32" t="inlineStr">
        <is>
          <t>Property Tax (Building Only)</t>
        </is>
      </c>
      <c r="D98" s="187" t="n">
        <v>26929818</v>
      </c>
      <c r="E98" s="124">
        <f>D98/D$31</f>
        <v/>
      </c>
      <c r="F98" s="10" t="n"/>
      <c r="G98" s="188">
        <f>D98</f>
        <v/>
      </c>
      <c r="H98" s="124">
        <f>G98/G$31</f>
        <v/>
      </c>
      <c r="I98" s="10" t="n"/>
      <c r="J98" s="188">
        <f>G98</f>
        <v/>
      </c>
      <c r="K98" s="124">
        <f>J98/J$31</f>
        <v/>
      </c>
      <c r="L98" s="10" t="n"/>
      <c r="M98" s="188">
        <f>J98</f>
        <v/>
      </c>
      <c r="N98" s="124">
        <f>M98/M$31</f>
        <v/>
      </c>
      <c r="O98" s="10" t="n"/>
      <c r="P98" s="188">
        <f>M98</f>
        <v/>
      </c>
      <c r="Q98" s="125">
        <f>P98/P$31</f>
        <v/>
      </c>
      <c r="R98" s="186" t="inlineStr">
        <is>
          <t>see dhp sheet</t>
        </is>
      </c>
      <c r="S98" s="189" t="n"/>
      <c r="T98" s="184" t="n"/>
    </row>
    <row r="99" ht="13" customHeight="1">
      <c r="B99" s="32" t="inlineStr">
        <is>
          <t>Ground Lease Rent</t>
        </is>
      </c>
      <c r="D99" s="187" t="n">
        <v>31800000</v>
      </c>
      <c r="E99" s="124">
        <f>D99/D$31</f>
        <v/>
      </c>
      <c r="F99" s="10" t="n"/>
      <c r="G99" s="188">
        <f>D99</f>
        <v/>
      </c>
      <c r="H99" s="190">
        <f>G99/G$31</f>
        <v/>
      </c>
      <c r="I99" s="10" t="n"/>
      <c r="J99" s="188">
        <f>G99</f>
        <v/>
      </c>
      <c r="K99" s="190">
        <f>J99/J$31</f>
        <v/>
      </c>
      <c r="L99" s="10" t="n"/>
      <c r="M99" s="188">
        <f>J99</f>
        <v/>
      </c>
      <c r="N99" s="190">
        <f>M99/M$31</f>
        <v/>
      </c>
      <c r="O99" s="10" t="n"/>
      <c r="P99" s="188">
        <f>M99</f>
        <v/>
      </c>
      <c r="Q99" s="125">
        <f>P99/P$31</f>
        <v/>
      </c>
      <c r="R99" s="186" t="inlineStr">
        <is>
          <t>see dhp sheet</t>
        </is>
      </c>
      <c r="S99" s="189" t="n"/>
      <c r="T99" s="184" t="n"/>
    </row>
    <row r="100" ht="13" customHeight="1">
      <c r="B100" s="32" t="inlineStr">
        <is>
          <t>Property Insurance</t>
        </is>
      </c>
      <c r="D100" s="187" t="n">
        <v>2640178</v>
      </c>
      <c r="E100" s="124">
        <f>D100/D$31</f>
        <v/>
      </c>
      <c r="F100" s="10" t="n"/>
      <c r="G100" s="188">
        <f>D100</f>
        <v/>
      </c>
      <c r="H100" s="124">
        <f>G100/G$31</f>
        <v/>
      </c>
      <c r="I100" s="10" t="n"/>
      <c r="J100" s="188">
        <f>G100</f>
        <v/>
      </c>
      <c r="K100" s="124">
        <f>J100/J$31</f>
        <v/>
      </c>
      <c r="L100" s="10" t="n"/>
      <c r="M100" s="188">
        <f>J100</f>
        <v/>
      </c>
      <c r="N100" s="124">
        <f>M100/M$31</f>
        <v/>
      </c>
      <c r="O100" s="10" t="n"/>
      <c r="P100" s="188">
        <f>M100</f>
        <v/>
      </c>
      <c r="Q100" s="125">
        <f>P100/P$31</f>
        <v/>
      </c>
      <c r="R100" s="186" t="inlineStr">
        <is>
          <t>see dhp sheet</t>
        </is>
      </c>
      <c r="T100" s="191" t="n">
        <v>19131.72463768116</v>
      </c>
      <c r="U100" s="192" t="inlineStr">
        <is>
          <t>per room</t>
        </is>
      </c>
    </row>
    <row r="101" ht="13" customHeight="1">
      <c r="B101" s="32" t="inlineStr">
        <is>
          <t>FF&amp;E Reserve</t>
        </is>
      </c>
      <c r="D101" s="101">
        <f>$R$101*D31</f>
        <v/>
      </c>
      <c r="E101" s="124">
        <f>D101/D$31</f>
        <v/>
      </c>
      <c r="G101" s="193">
        <f>$R$101*G31</f>
        <v/>
      </c>
      <c r="H101" s="124">
        <f>G101/G$31</f>
        <v/>
      </c>
      <c r="J101" s="193">
        <f>$R$101*J31</f>
        <v/>
      </c>
      <c r="K101" s="124">
        <f>J101/J$31</f>
        <v/>
      </c>
      <c r="M101" s="193">
        <f>$R$101*M31</f>
        <v/>
      </c>
      <c r="N101" s="124">
        <f>M101/M$31</f>
        <v/>
      </c>
      <c r="P101" s="193">
        <f>$R$101*P31</f>
        <v/>
      </c>
      <c r="Q101" s="125">
        <f>P101/P$31</f>
        <v/>
      </c>
      <c r="R101" s="194" t="n">
        <v>0.01</v>
      </c>
      <c r="S101" s="128" t="inlineStr">
        <is>
          <t>of GOR</t>
        </is>
      </c>
    </row>
    <row r="102" ht="13" customHeight="1">
      <c r="B102" s="32" t="inlineStr">
        <is>
          <t>Capex Reserve</t>
        </is>
      </c>
      <c r="D102" s="101">
        <f>$R$102*D31</f>
        <v/>
      </c>
      <c r="E102" s="124">
        <f>D102/D$31</f>
        <v/>
      </c>
      <c r="G102" s="193">
        <f>$R$102*G31</f>
        <v/>
      </c>
      <c r="H102" s="124">
        <f>G102/G$31</f>
        <v/>
      </c>
      <c r="J102" s="193">
        <f>$R$102*J31</f>
        <v/>
      </c>
      <c r="K102" s="124">
        <f>J102/J$31</f>
        <v/>
      </c>
      <c r="M102" s="193">
        <f>$R$102*M31</f>
        <v/>
      </c>
      <c r="N102" s="124">
        <f>M102/M$31</f>
        <v/>
      </c>
      <c r="P102" s="193">
        <f>$R$102*P31</f>
        <v/>
      </c>
      <c r="Q102" s="125">
        <f>P102/P$31</f>
        <v/>
      </c>
      <c r="R102" s="194" t="n">
        <v>0.01</v>
      </c>
      <c r="S102" s="128" t="inlineStr">
        <is>
          <t>of GOR</t>
        </is>
      </c>
    </row>
    <row r="103" ht="13" customHeight="1">
      <c r="B103" s="195" t="inlineStr">
        <is>
          <t>Total</t>
        </is>
      </c>
      <c r="D103" s="147">
        <f>SUM(D98:D102)</f>
        <v/>
      </c>
      <c r="E103" s="84">
        <f>D103/D$31</f>
        <v/>
      </c>
      <c r="F103" s="107" t="n"/>
      <c r="G103" s="196">
        <f>SUM(G98:G102)</f>
        <v/>
      </c>
      <c r="H103" s="84">
        <f>G103/G$31</f>
        <v/>
      </c>
      <c r="I103" s="107" t="n"/>
      <c r="J103" s="196">
        <f>SUM(J98:J102)</f>
        <v/>
      </c>
      <c r="K103" s="84">
        <f>J103/J$31</f>
        <v/>
      </c>
      <c r="L103" s="107" t="n"/>
      <c r="M103" s="196">
        <f>SUM(M98:M102)</f>
        <v/>
      </c>
      <c r="N103" s="84">
        <f>M103/M$31</f>
        <v/>
      </c>
      <c r="O103" s="107" t="n"/>
      <c r="P103" s="196">
        <f>SUM(P98:P102)</f>
        <v/>
      </c>
      <c r="Q103" s="87">
        <f>P103/P$31</f>
        <v/>
      </c>
      <c r="S103" s="186" t="n"/>
    </row>
    <row r="104" ht="13" customHeight="1">
      <c r="D104" s="184" t="n"/>
      <c r="G104" s="193" t="n"/>
      <c r="J104" s="193" t="n"/>
      <c r="M104" s="193" t="n"/>
      <c r="P104" s="193" t="n"/>
      <c r="S104" s="186" t="n"/>
    </row>
    <row r="105" ht="13" customHeight="1">
      <c r="B105" s="197" t="inlineStr">
        <is>
          <t>Property NOI</t>
        </is>
      </c>
      <c r="D105" s="198">
        <f>D92-D95-D98-D99-D100</f>
        <v/>
      </c>
      <c r="E105" s="173">
        <f>D105/D$31</f>
        <v/>
      </c>
      <c r="F105" s="199" t="n"/>
      <c r="G105" s="198">
        <f>G92-G95-G98-G99-G100</f>
        <v/>
      </c>
      <c r="H105" s="173">
        <f>G105/G$31</f>
        <v/>
      </c>
      <c r="I105" s="199" t="n"/>
      <c r="J105" s="198">
        <f>J92-J95-J98-J99-J100</f>
        <v/>
      </c>
      <c r="K105" s="173">
        <f>J105/J$31</f>
        <v/>
      </c>
      <c r="L105" s="199" t="n"/>
      <c r="M105" s="198">
        <f>M92-M95-M98-M99-M100</f>
        <v/>
      </c>
      <c r="N105" s="173">
        <f>M105/M$31</f>
        <v/>
      </c>
      <c r="O105" s="199" t="n"/>
      <c r="P105" s="198">
        <f>P92-P95-P98-P99-P100</f>
        <v/>
      </c>
      <c r="Q105" s="176">
        <f>P105/P$31</f>
        <v/>
      </c>
      <c r="S105" s="186" t="n"/>
    </row>
    <row r="106" ht="13" customHeight="1">
      <c r="B106" s="200" t="inlineStr">
        <is>
          <t>Yield on Cost</t>
        </is>
      </c>
      <c r="D106" s="201">
        <f>D105/$T$33</f>
        <v/>
      </c>
      <c r="E106" s="202" t="n"/>
      <c r="F106" s="203" t="n"/>
      <c r="G106" s="201">
        <f>G105/$T$33</f>
        <v/>
      </c>
      <c r="H106" s="202" t="n"/>
      <c r="I106" s="203" t="n"/>
      <c r="J106" s="201">
        <f>J105/$T$33</f>
        <v/>
      </c>
      <c r="K106" s="202" t="n"/>
      <c r="L106" s="203" t="n"/>
      <c r="M106" s="201">
        <f>M105/$T$33</f>
        <v/>
      </c>
      <c r="N106" s="202" t="n"/>
      <c r="O106" s="203" t="n"/>
      <c r="P106" s="201">
        <f>P105/$T$33</f>
        <v/>
      </c>
      <c r="Q106" s="204" t="n"/>
      <c r="S106" s="186" t="n"/>
    </row>
    <row r="107" ht="13" customHeight="1">
      <c r="B107" s="177" t="n"/>
      <c r="D107" s="178" t="n"/>
      <c r="E107" s="205" t="n"/>
      <c r="F107" s="205" t="n"/>
      <c r="G107" s="181" t="n"/>
      <c r="H107" s="205" t="n"/>
      <c r="I107" s="205" t="n"/>
      <c r="J107" s="181" t="n"/>
      <c r="K107" s="205" t="n"/>
      <c r="L107" s="205" t="n"/>
      <c r="M107" s="181" t="n"/>
      <c r="N107" s="205" t="n"/>
      <c r="O107" s="205" t="n"/>
      <c r="P107" s="181" t="n"/>
      <c r="Q107" s="206" t="n"/>
      <c r="S107" s="186" t="n"/>
    </row>
    <row r="108" ht="13" customHeight="1">
      <c r="D108" s="193" t="n"/>
      <c r="G108" s="193" t="n"/>
      <c r="J108" s="193" t="n"/>
      <c r="M108" s="193" t="n"/>
      <c r="P108" s="193" t="n"/>
      <c r="S108" s="186" t="n"/>
    </row>
    <row r="109" ht="13" customHeight="1">
      <c r="B109" s="197" t="inlineStr">
        <is>
          <t>Property NCF</t>
        </is>
      </c>
      <c r="C109" s="115" t="n"/>
      <c r="D109" s="172">
        <f>D105-D101-D102</f>
        <v/>
      </c>
      <c r="E109" s="173">
        <f>D109/D$31</f>
        <v/>
      </c>
      <c r="F109" s="199" t="n"/>
      <c r="G109" s="175">
        <f>G105-G101-G102</f>
        <v/>
      </c>
      <c r="H109" s="173">
        <f>G109/G$31</f>
        <v/>
      </c>
      <c r="I109" s="199" t="n"/>
      <c r="J109" s="175">
        <f>J105-J101-J102</f>
        <v/>
      </c>
      <c r="K109" s="173">
        <f>J109/J$31</f>
        <v/>
      </c>
      <c r="L109" s="199" t="n"/>
      <c r="M109" s="175">
        <f>M105-M101-M102</f>
        <v/>
      </c>
      <c r="N109" s="173">
        <f>M109/M$31</f>
        <v/>
      </c>
      <c r="O109" s="207" t="n"/>
      <c r="P109" s="175">
        <f>P105-P101-P102</f>
        <v/>
      </c>
      <c r="Q109" s="176">
        <f>P109/P$31</f>
        <v/>
      </c>
    </row>
    <row r="110" ht="13" customHeight="1">
      <c r="B110" s="200" t="inlineStr">
        <is>
          <t>Yield on Cost</t>
        </is>
      </c>
      <c r="C110" s="115" t="n"/>
      <c r="D110" s="201">
        <f>D109/$T$33</f>
        <v/>
      </c>
      <c r="E110" s="202" t="n"/>
      <c r="F110" s="203" t="n"/>
      <c r="G110" s="201">
        <f>G109/$T$33</f>
        <v/>
      </c>
      <c r="H110" s="202" t="n"/>
      <c r="I110" s="203" t="n"/>
      <c r="J110" s="201">
        <f>J109/$T$33</f>
        <v/>
      </c>
      <c r="K110" s="202" t="n"/>
      <c r="L110" s="203" t="n"/>
      <c r="M110" s="201">
        <f>M109/$T$33</f>
        <v/>
      </c>
      <c r="N110" s="202" t="n"/>
      <c r="O110" s="208" t="n"/>
      <c r="P110" s="201">
        <f>P109/$T$33</f>
        <v/>
      </c>
      <c r="Q110" s="204" t="n"/>
    </row>
    <row r="111" ht="13" customHeight="1">
      <c r="B111" s="209" t="n"/>
      <c r="C111" s="115" t="n"/>
      <c r="D111" s="210" t="n"/>
      <c r="E111" s="211" t="n"/>
      <c r="F111" s="212" t="n"/>
      <c r="G111" s="211" t="n"/>
      <c r="H111" s="211" t="n"/>
      <c r="I111" s="212" t="n"/>
      <c r="J111" s="211" t="n"/>
      <c r="K111" s="211" t="n"/>
      <c r="L111" s="212" t="n"/>
      <c r="M111" s="211" t="n"/>
      <c r="N111" s="211" t="n"/>
      <c r="O111" s="212" t="n"/>
      <c r="P111" s="211" t="n"/>
      <c r="Q111" s="213" t="n"/>
    </row>
    <row r="112" ht="13" customHeight="1">
      <c r="B112" s="214" t="n"/>
      <c r="C112" s="214" t="n"/>
      <c r="D112" s="215" t="n"/>
      <c r="F112" s="216" t="n"/>
      <c r="G112" s="215" t="n"/>
      <c r="H112" s="217" t="n"/>
      <c r="I112" s="216" t="n"/>
      <c r="J112" s="215" t="n"/>
      <c r="K112" s="217" t="n"/>
      <c r="L112" s="216" t="n"/>
      <c r="M112" s="215" t="n"/>
      <c r="N112" s="217" t="n"/>
      <c r="O112" s="216" t="n"/>
      <c r="P112" s="215" t="n"/>
      <c r="Q112" s="216" t="n"/>
    </row>
    <row r="113" ht="13" customHeight="1">
      <c r="B113" s="214" t="n"/>
      <c r="C113" s="214" t="n"/>
      <c r="D113" s="215" t="n"/>
      <c r="F113" s="216" t="n"/>
      <c r="G113" s="215" t="n"/>
      <c r="H113" s="217" t="n"/>
      <c r="I113" s="216" t="n"/>
      <c r="J113" s="215" t="n"/>
      <c r="K113" s="217" t="n"/>
      <c r="L113" s="216" t="n"/>
      <c r="M113" s="215" t="n"/>
      <c r="N113" s="217" t="n"/>
      <c r="O113" s="216" t="n"/>
      <c r="P113" s="215" t="n"/>
      <c r="Q113" s="216" t="n"/>
      <c r="V113" s="218" t="n"/>
      <c r="W113" s="219" t="n"/>
      <c r="X113" s="131" t="n"/>
      <c r="Y113" s="131" t="n"/>
    </row>
    <row r="114" ht="13" customHeight="1">
      <c r="B114" s="214" t="n"/>
      <c r="C114" s="214" t="n"/>
      <c r="F114" s="216" t="n"/>
      <c r="G114" s="217" t="n"/>
      <c r="H114" s="217" t="n"/>
      <c r="I114" s="216" t="n"/>
      <c r="J114" s="216" t="n"/>
      <c r="K114" s="217" t="n"/>
      <c r="L114" s="216" t="n"/>
      <c r="M114" s="216" t="n"/>
      <c r="N114" s="217" t="n"/>
      <c r="O114" s="216" t="n"/>
      <c r="P114" s="217" t="n"/>
      <c r="Q114" s="216" t="n"/>
    </row>
  </sheetData>
  <pageMargins left="0.7" right="0.7" top="0.75" bottom="0.75" header="0.3" footer="0.3"/>
  <pageSetup orientation="landscape" paperSize="9" scale="3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Allan Takahashi</dc:creator>
  <dcterms:created xsi:type="dcterms:W3CDTF">2025-09-25T12:04:41Z</dcterms:created>
  <dcterms:modified xsi:type="dcterms:W3CDTF">2026-07-03T11:14:56Z</dcterms:modified>
  <cp:lastModifiedBy>Allan Takahashi</cp:lastModifiedBy>
</cp:coreProperties>
</file>